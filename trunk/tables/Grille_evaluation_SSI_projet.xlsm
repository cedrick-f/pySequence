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defaultThemeVersion="124226"/>
  <bookViews>
    <workbookView xWindow="-15" yWindow="4650" windowWidth="17265" windowHeight="4695" activeTab="1"/>
  </bookViews>
  <sheets>
    <sheet name="Identification" sheetId="1" r:id="rId1"/>
    <sheet name="Notation" sheetId="2" r:id="rId2"/>
  </sheets>
  <definedNames>
    <definedName name="_xlnm.Print_Area" localSheetId="0">Identification!$A$1:$B$39</definedName>
    <definedName name="_xlnm.Print_Area" localSheetId="1">Notation!$A$1:$K$47</definedName>
  </definedNames>
  <calcPr calcId="125725"/>
</workbook>
</file>

<file path=xl/calcChain.xml><?xml version="1.0" encoding="utf-8"?>
<calcChain xmlns="http://schemas.openxmlformats.org/spreadsheetml/2006/main">
  <c r="N18" i="2"/>
  <c r="I18"/>
  <c r="Q18"/>
  <c r="S18"/>
  <c r="S32"/>
  <c r="S31"/>
  <c r="S30"/>
  <c r="S29"/>
  <c r="S28"/>
  <c r="S27"/>
  <c r="S26"/>
  <c r="S25"/>
  <c r="S24"/>
  <c r="S23"/>
  <c r="S22"/>
  <c r="S21"/>
  <c r="S20"/>
  <c r="S19"/>
  <c r="S17"/>
  <c r="S16"/>
  <c r="S15"/>
  <c r="S14"/>
  <c r="S13"/>
  <c r="S12"/>
  <c r="S11"/>
  <c r="S10"/>
  <c r="S9"/>
  <c r="S8"/>
  <c r="S7"/>
  <c r="S6"/>
  <c r="S5"/>
  <c r="R28"/>
  <c r="R27"/>
  <c r="R29"/>
  <c r="R18"/>
  <c r="R15"/>
  <c r="R16"/>
  <c r="R20"/>
  <c r="R21"/>
  <c r="R22"/>
  <c r="R12"/>
  <c r="R24"/>
  <c r="R13"/>
  <c r="R14"/>
  <c r="R17"/>
  <c r="R19"/>
  <c r="R23"/>
  <c r="R26"/>
  <c r="R30"/>
  <c r="R25"/>
  <c r="R33"/>
  <c r="R31"/>
  <c r="R32"/>
  <c r="R6"/>
  <c r="R11"/>
  <c r="R7"/>
  <c r="R5"/>
  <c r="R9"/>
  <c r="R8"/>
  <c r="R10"/>
  <c r="N6"/>
  <c r="I6"/>
  <c r="Q6"/>
  <c r="N7"/>
  <c r="I7"/>
  <c r="Q7"/>
  <c r="N8"/>
  <c r="I8"/>
  <c r="Q8"/>
  <c r="N9"/>
  <c r="I9"/>
  <c r="Q9"/>
  <c r="N10"/>
  <c r="I10"/>
  <c r="Q10"/>
  <c r="N12"/>
  <c r="N11"/>
  <c r="M11"/>
  <c r="N13"/>
  <c r="I13"/>
  <c r="Q13"/>
  <c r="N14"/>
  <c r="I14"/>
  <c r="Q14"/>
  <c r="N15"/>
  <c r="I15"/>
  <c r="Q15"/>
  <c r="N16"/>
  <c r="I16"/>
  <c r="Q16"/>
  <c r="N17"/>
  <c r="I17"/>
  <c r="Q17"/>
  <c r="N19"/>
  <c r="I19"/>
  <c r="Q19"/>
  <c r="N20"/>
  <c r="I20"/>
  <c r="Q20"/>
  <c r="N21"/>
  <c r="I21"/>
  <c r="Q21"/>
  <c r="N22"/>
  <c r="I22"/>
  <c r="Q22"/>
  <c r="N23"/>
  <c r="I23"/>
  <c r="Q23"/>
  <c r="N25"/>
  <c r="I25"/>
  <c r="Q25"/>
  <c r="N26"/>
  <c r="I26"/>
  <c r="Q26"/>
  <c r="N27"/>
  <c r="I27"/>
  <c r="Q27"/>
  <c r="N28"/>
  <c r="I28"/>
  <c r="Q28"/>
  <c r="N29"/>
  <c r="I29"/>
  <c r="Q29"/>
  <c r="N30"/>
  <c r="I30"/>
  <c r="Q30"/>
  <c r="N31"/>
  <c r="I31"/>
  <c r="Q31"/>
  <c r="N32"/>
  <c r="I32"/>
  <c r="Q32"/>
  <c r="N5"/>
  <c r="I5"/>
  <c r="Q5"/>
  <c r="M28"/>
  <c r="M26"/>
  <c r="M27"/>
  <c r="M29"/>
  <c r="M30"/>
  <c r="P5"/>
  <c r="P6"/>
  <c r="P4"/>
  <c r="E33"/>
  <c r="P7"/>
  <c r="P8"/>
  <c r="P9"/>
  <c r="P10"/>
  <c r="P12"/>
  <c r="P13"/>
  <c r="P14"/>
  <c r="P15"/>
  <c r="P16"/>
  <c r="P17"/>
  <c r="P18"/>
  <c r="P19"/>
  <c r="P20"/>
  <c r="P21"/>
  <c r="P22"/>
  <c r="P23"/>
  <c r="P11"/>
  <c r="P25"/>
  <c r="P26"/>
  <c r="P24"/>
  <c r="P27"/>
  <c r="P28"/>
  <c r="P29"/>
  <c r="P30"/>
  <c r="P31"/>
  <c r="P32"/>
  <c r="M5"/>
  <c r="M7"/>
  <c r="M6"/>
  <c r="M9"/>
  <c r="M31"/>
  <c r="O31"/>
  <c r="M15"/>
  <c r="M16"/>
  <c r="M20"/>
  <c r="M21"/>
  <c r="M22"/>
  <c r="M8"/>
  <c r="C1"/>
  <c r="O26"/>
  <c r="O27"/>
  <c r="O28"/>
  <c r="O29"/>
  <c r="O30"/>
  <c r="M32"/>
  <c r="O32"/>
  <c r="M25"/>
  <c r="O25"/>
  <c r="M13"/>
  <c r="O13"/>
  <c r="M14"/>
  <c r="O14"/>
  <c r="O15"/>
  <c r="O16"/>
  <c r="M17"/>
  <c r="O17"/>
  <c r="M18"/>
  <c r="O18"/>
  <c r="M19"/>
  <c r="O19"/>
  <c r="O20"/>
  <c r="O21"/>
  <c r="O22"/>
  <c r="M23"/>
  <c r="O23"/>
  <c r="M12"/>
  <c r="O12"/>
  <c r="O6"/>
  <c r="O7"/>
  <c r="O8"/>
  <c r="O9"/>
  <c r="M10"/>
  <c r="O10"/>
  <c r="O5"/>
  <c r="L32"/>
  <c r="K33"/>
  <c r="L23"/>
  <c r="L10"/>
  <c r="G36"/>
  <c r="D2"/>
  <c r="C2"/>
  <c r="A1"/>
  <c r="E47"/>
  <c r="R34"/>
  <c r="J33"/>
  <c r="Q33"/>
  <c r="N4"/>
  <c r="N24"/>
  <c r="M24"/>
  <c r="I12"/>
  <c r="Q12"/>
  <c r="E36"/>
  <c r="C39"/>
  <c r="N33"/>
  <c r="E34"/>
  <c r="M4"/>
</calcChain>
</file>

<file path=xl/sharedStrings.xml><?xml version="1.0" encoding="utf-8"?>
<sst xmlns="http://schemas.openxmlformats.org/spreadsheetml/2006/main" count="81" uniqueCount="78">
  <si>
    <t>Établissement :</t>
  </si>
  <si>
    <t>Epreuve :</t>
  </si>
  <si>
    <t>Diplôme :</t>
  </si>
  <si>
    <t>Nom du candidat :</t>
  </si>
  <si>
    <t>Prénom du candidat :</t>
  </si>
  <si>
    <t>Date de l'évaluation :</t>
  </si>
  <si>
    <t xml:space="preserve">Session : </t>
  </si>
  <si>
    <t>Identifications</t>
  </si>
  <si>
    <t>/20</t>
  </si>
  <si>
    <t>Compétences évaluées</t>
  </si>
  <si>
    <t xml:space="preserve"> /20</t>
  </si>
  <si>
    <t>Appréciation globale</t>
  </si>
  <si>
    <t>Poids du critère</t>
  </si>
  <si>
    <t>Poids de la compétence</t>
  </si>
  <si>
    <t xml:space="preserve">Note brute </t>
  </si>
  <si>
    <t>Signatures</t>
  </si>
  <si>
    <t>Date</t>
  </si>
  <si>
    <t>non</t>
  </si>
  <si>
    <t>Taux pondéré de compétences et indicateurs évalués :</t>
  </si>
  <si>
    <t>Note sur 20 proposée au jury* :</t>
  </si>
  <si>
    <t>Note x coefficient :</t>
  </si>
  <si>
    <t>Lieu de l'évaluation :</t>
  </si>
  <si>
    <t>Résultats obtenus</t>
  </si>
  <si>
    <t>Données fournies au candidat</t>
  </si>
  <si>
    <t>Noms des Evaluateurs</t>
  </si>
  <si>
    <t>Coefficient :</t>
  </si>
  <si>
    <t>* La note proposée, arrondie au demi point, est décidée par les évaluateurs à partir de la note brute qui peut être modulée de + 0 à + 1 point en fonction de la réactivité du candidat.</t>
  </si>
  <si>
    <t>Travail demandé au candidat</t>
  </si>
  <si>
    <t>Titre et description sommaire du projet</t>
  </si>
  <si>
    <r>
      <t xml:space="preserve">Indicateurs de performance                                                               </t>
    </r>
    <r>
      <rPr>
        <b/>
        <i/>
        <sz val="9"/>
        <rFont val="Arial"/>
        <family val="2"/>
      </rPr>
      <t xml:space="preserve"> </t>
    </r>
    <r>
      <rPr>
        <sz val="9"/>
        <rFont val="Arial"/>
        <family val="2"/>
      </rPr>
      <t>évaluation</t>
    </r>
  </si>
  <si>
    <t>Soutenance Projet</t>
  </si>
  <si>
    <t>Note brute obtenue par calcul automatique (attention si le taux est &lt;50%, le calcul n'est pas proposé) :</t>
  </si>
  <si>
    <t>Baccalauréat Scientifique "Sciences de l'Ingénieur" (S-SI)</t>
  </si>
  <si>
    <t>B - Modéliser</t>
  </si>
  <si>
    <t>Simuler le fonctionnement de tout ou partie d’un système à l’aide d’un modèle fourni</t>
  </si>
  <si>
    <t>B3.2 - Résoudre et simuler</t>
  </si>
  <si>
    <t>B4 - Valider un modèle</t>
  </si>
  <si>
    <t>Les résultats sont correctement interprétés</t>
  </si>
  <si>
    <t>Ces limites sont explicitées</t>
  </si>
  <si>
    <t xml:space="preserve">Le modèle modifié répond aux attentes </t>
  </si>
  <si>
    <t>Les paramètres modifiés sont pertinents</t>
  </si>
  <si>
    <t>Les paramètres influents sont identifiés</t>
  </si>
  <si>
    <t>Les limites de simulation sont correctement définies</t>
  </si>
  <si>
    <t>Valider un modèle fourni, Interpréter les résultats obtenus, préciser les limites de validité du modèle utilisé et modifier les paramètres du modèle pour répondre au cahier des charges ou aux résultats expérimentaux</t>
  </si>
  <si>
    <t xml:space="preserve"> C - Expérimenter</t>
  </si>
  <si>
    <t>Identifier les grandeurs physiques à mesurer, décrire une chaîne d’acquisition, identifier le comportement des composants et justifier le choix des essais réalisés</t>
  </si>
  <si>
    <t>Les grandeurs spécifiques (d'entrée, sortie, matière d'œuvre…) sont correctement identifiées</t>
  </si>
  <si>
    <t xml:space="preserve">Les éléments de la chaîne sont correctement identifiés </t>
  </si>
  <si>
    <t>Les choix et réglages des capteurs et appareils de mesure sont correctement explicités</t>
  </si>
  <si>
    <t>Le comportement est précisément décrit</t>
  </si>
  <si>
    <t>Un protocole expérimental adapté de recueil de résultats est conçu ou complété, validé et mis en œuvre</t>
  </si>
  <si>
    <t xml:space="preserve"> C1 - Justifier le choix d’un protocole expérimental</t>
  </si>
  <si>
    <t>C2 - Mettre en œuvre un protocole expérimental</t>
  </si>
  <si>
    <t>Conduire les essais en respectant les consignes de sécurité à partir d’un protocole fourni et traiter les données mesurées en vue d’analyser les écarts</t>
  </si>
  <si>
    <t>Les capteurs et appareils de mesure sont correctement mis en œuvre</t>
  </si>
  <si>
    <t>Le système étudié est correctement mis en œuvre</t>
  </si>
  <si>
    <t>Les règles de sécurité sont connues et respectées</t>
  </si>
  <si>
    <t>Les protocole d'essai est respecté</t>
  </si>
  <si>
    <t>Les résultats sont présentés clairement</t>
  </si>
  <si>
    <t>Les résultats sont correctement analysés</t>
  </si>
  <si>
    <t>Les méthodes et outils de traitement sont cohérents avec le problème posé</t>
  </si>
  <si>
    <t xml:space="preserve"> D - Communiquer</t>
  </si>
  <si>
    <t>D1 - Rechercher et traiter des informations</t>
  </si>
  <si>
    <t>Rechercher, analyser, choisir et classer des informations</t>
  </si>
  <si>
    <t>Les outils de recherche documentaire sont bien choisis</t>
  </si>
  <si>
    <t>Les techniques de recherche documentaire sont maîtrisées</t>
  </si>
  <si>
    <t>Les informations conservées sont opportunes</t>
  </si>
  <si>
    <t>Le classement des données permet de les retrouver rapidement</t>
  </si>
  <si>
    <t>D2 - Mettre en œuvre une communication</t>
  </si>
  <si>
    <t>Les outils de communication sont maîtrisés</t>
  </si>
  <si>
    <t>Le support utilisé est adapté</t>
  </si>
  <si>
    <t xml:space="preserve">La production finale permet la compréhension du problème et de sa résolution </t>
  </si>
  <si>
    <t>Choisir un support de communication et un média adapté, argumenter, produire un support de communication et adapter sa stratégie de communication au contexte</t>
  </si>
  <si>
    <t>La production respecte le cahier des charges (écrit/oral, texte/vidéo, durée, public visé, …)</t>
  </si>
  <si>
    <t></t>
  </si>
  <si>
    <t>I</t>
  </si>
  <si>
    <t>Î</t>
  </si>
  <si>
    <r>
      <t>ATTENTION,</t>
    </r>
    <r>
      <rPr>
        <i/>
        <sz val="10"/>
        <color indexed="18"/>
        <rFont val="Arial"/>
        <family val="2"/>
      </rPr>
      <t xml:space="preserve"> si le symbole </t>
    </r>
    <r>
      <rPr>
        <b/>
        <i/>
        <sz val="10"/>
        <color indexed="10"/>
        <rFont val="Arial"/>
        <family val="2"/>
      </rPr>
      <t xml:space="preserve">◄ </t>
    </r>
    <r>
      <rPr>
        <i/>
        <sz val="10"/>
        <color indexed="18"/>
        <rFont val="Arial"/>
        <family val="2"/>
      </rPr>
      <t>apparait dans cette colonne c'est qu'il y a plus d'une valeur donnée à l'indicateur, il faut alors choisir laquelle retenir, ou bien que l'indicateur est mentionné "non" évalué :</t>
    </r>
  </si>
</sst>
</file>

<file path=xl/styles.xml><?xml version="1.0" encoding="utf-8"?>
<styleSheet xmlns="http://schemas.openxmlformats.org/spreadsheetml/2006/main">
  <numFmts count="1">
    <numFmt numFmtId="164" formatCode="0.0"/>
  </numFmts>
  <fonts count="35">
    <font>
      <sz val="10"/>
      <name val="Arial"/>
    </font>
    <font>
      <sz val="10"/>
      <name val="Arial"/>
    </font>
    <font>
      <sz val="9"/>
      <name val="Arial Narrow"/>
      <family val="2"/>
    </font>
    <font>
      <sz val="10"/>
      <name val="Arial"/>
      <family val="2"/>
    </font>
    <font>
      <b/>
      <sz val="10"/>
      <name val="Arial"/>
      <family val="2"/>
    </font>
    <font>
      <sz val="10"/>
      <color indexed="8"/>
      <name val="Arial"/>
      <family val="2"/>
    </font>
    <font>
      <i/>
      <sz val="10"/>
      <name val="Arial"/>
      <family val="2"/>
    </font>
    <font>
      <sz val="8"/>
      <name val="Arial"/>
    </font>
    <font>
      <b/>
      <i/>
      <sz val="10"/>
      <name val="Arial"/>
      <family val="2"/>
    </font>
    <font>
      <b/>
      <sz val="12"/>
      <color indexed="10"/>
      <name val="Arial"/>
      <family val="2"/>
    </font>
    <font>
      <sz val="9"/>
      <name val="Arial"/>
      <family val="2"/>
    </font>
    <font>
      <b/>
      <sz val="10"/>
      <color indexed="10"/>
      <name val="Arial"/>
      <family val="2"/>
    </font>
    <font>
      <sz val="11"/>
      <name val="Arial"/>
      <family val="2"/>
    </font>
    <font>
      <sz val="10"/>
      <color indexed="12"/>
      <name val="Arial"/>
      <family val="2"/>
    </font>
    <font>
      <b/>
      <sz val="10"/>
      <color indexed="12"/>
      <name val="Arial"/>
      <family val="2"/>
    </font>
    <font>
      <sz val="8"/>
      <name val="Arial"/>
      <family val="2"/>
    </font>
    <font>
      <b/>
      <sz val="9"/>
      <name val="Arial"/>
      <family val="2"/>
    </font>
    <font>
      <b/>
      <i/>
      <sz val="9"/>
      <name val="Arial"/>
      <family val="2"/>
    </font>
    <font>
      <i/>
      <sz val="9"/>
      <name val="Arial"/>
      <family val="2"/>
    </font>
    <font>
      <sz val="9"/>
      <color indexed="12"/>
      <name val="Arial"/>
      <family val="2"/>
    </font>
    <font>
      <b/>
      <sz val="9"/>
      <color indexed="12"/>
      <name val="Arial"/>
      <family val="2"/>
    </font>
    <font>
      <i/>
      <sz val="10"/>
      <color indexed="12"/>
      <name val="Arial"/>
      <family val="2"/>
    </font>
    <font>
      <sz val="9"/>
      <color indexed="9"/>
      <name val="Arial"/>
      <family val="2"/>
    </font>
    <font>
      <sz val="10"/>
      <color indexed="9"/>
      <name val="Arial"/>
      <family val="2"/>
    </font>
    <font>
      <b/>
      <sz val="10"/>
      <color indexed="9"/>
      <name val="Arial"/>
      <family val="2"/>
    </font>
    <font>
      <b/>
      <i/>
      <sz val="8"/>
      <name val="Arial"/>
      <family val="2"/>
    </font>
    <font>
      <b/>
      <sz val="7"/>
      <color indexed="9"/>
      <name val="Arial"/>
      <family val="2"/>
    </font>
    <font>
      <sz val="10"/>
      <color indexed="10"/>
      <name val="Arial"/>
      <family val="2"/>
    </font>
    <font>
      <b/>
      <i/>
      <sz val="10"/>
      <color indexed="10"/>
      <name val="Arial"/>
      <family val="2"/>
    </font>
    <font>
      <i/>
      <sz val="10"/>
      <color indexed="10"/>
      <name val="Arial"/>
      <family val="2"/>
    </font>
    <font>
      <sz val="9"/>
      <color indexed="10"/>
      <name val="Arial Narrow"/>
      <family val="2"/>
    </font>
    <font>
      <sz val="8"/>
      <color indexed="10"/>
      <name val="Arial"/>
      <family val="2"/>
    </font>
    <font>
      <b/>
      <sz val="10"/>
      <color indexed="12"/>
      <name val="Wingdings"/>
      <charset val="2"/>
    </font>
    <font>
      <b/>
      <sz val="10"/>
      <color indexed="12"/>
      <name val="Wingdings 3"/>
      <family val="1"/>
      <charset val="2"/>
    </font>
    <font>
      <i/>
      <sz val="10"/>
      <color indexed="18"/>
      <name val="Arial"/>
      <family val="2"/>
    </font>
  </fonts>
  <fills count="5">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indexed="43"/>
        <bgColor indexed="64"/>
      </patternFill>
    </fill>
  </fills>
  <borders count="57">
    <border>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style="thin">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right style="double">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medium">
        <color indexed="64"/>
      </top>
      <bottom/>
      <diagonal/>
    </border>
    <border>
      <left/>
      <right style="double">
        <color indexed="64"/>
      </right>
      <top style="medium">
        <color indexed="64"/>
      </top>
      <bottom/>
      <diagonal/>
    </border>
    <border>
      <left style="double">
        <color indexed="64"/>
      </left>
      <right/>
      <top/>
      <bottom style="medium">
        <color indexed="64"/>
      </bottom>
      <diagonal/>
    </border>
    <border>
      <left/>
      <right style="double">
        <color indexed="64"/>
      </right>
      <top/>
      <bottom style="medium">
        <color indexed="64"/>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diagonal/>
    </border>
    <border>
      <left/>
      <right/>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182">
    <xf numFmtId="0" fontId="0" fillId="0" borderId="0" xfId="0"/>
    <xf numFmtId="0" fontId="3" fillId="0" borderId="0" xfId="0" applyFont="1" applyBorder="1" applyAlignment="1">
      <alignment vertical="center"/>
    </xf>
    <xf numFmtId="0" fontId="3" fillId="0" borderId="0" xfId="0" applyFont="1" applyBorder="1" applyAlignment="1">
      <alignment vertical="center" wrapText="1"/>
    </xf>
    <xf numFmtId="0" fontId="3" fillId="0" borderId="0" xfId="0" applyFont="1" applyBorder="1" applyAlignment="1">
      <alignment horizontal="right" vertical="center"/>
    </xf>
    <xf numFmtId="0" fontId="3" fillId="0" borderId="1" xfId="0" applyFont="1"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3" fillId="0" borderId="0" xfId="0" applyFont="1" applyBorder="1" applyAlignment="1">
      <alignment horizontal="center" vertical="center"/>
    </xf>
    <xf numFmtId="0" fontId="2" fillId="0" borderId="0" xfId="0" applyFont="1" applyBorder="1" applyAlignment="1" applyProtection="1">
      <alignment vertical="top" wrapText="1"/>
      <protection locked="0"/>
    </xf>
    <xf numFmtId="0" fontId="4" fillId="0" borderId="3" xfId="0" applyFont="1" applyBorder="1" applyAlignment="1">
      <alignment horizontal="center" vertical="center"/>
    </xf>
    <xf numFmtId="9" fontId="13" fillId="0" borderId="0" xfId="0" applyNumberFormat="1" applyFont="1" applyBorder="1" applyAlignment="1">
      <alignment vertical="center"/>
    </xf>
    <xf numFmtId="0" fontId="13" fillId="0" borderId="0" xfId="0" applyFont="1" applyBorder="1" applyAlignment="1">
      <alignment horizontal="left" vertical="center"/>
    </xf>
    <xf numFmtId="0" fontId="14" fillId="0" borderId="0" xfId="0" applyFont="1" applyBorder="1" applyAlignment="1">
      <alignment horizontal="left" vertical="center"/>
    </xf>
    <xf numFmtId="0" fontId="6" fillId="0" borderId="0" xfId="0" applyFont="1" applyBorder="1" applyAlignment="1">
      <alignment horizontal="right" vertical="center"/>
    </xf>
    <xf numFmtId="0" fontId="3" fillId="0" borderId="4" xfId="0" applyFont="1" applyFill="1" applyBorder="1" applyAlignment="1" applyProtection="1">
      <alignment horizontal="center" vertical="center"/>
      <protection locked="0"/>
    </xf>
    <xf numFmtId="0" fontId="3" fillId="0" borderId="5" xfId="0" applyFont="1" applyFill="1" applyBorder="1" applyAlignment="1" applyProtection="1">
      <alignment horizontal="center" vertical="center"/>
      <protection locked="0"/>
    </xf>
    <xf numFmtId="0" fontId="3" fillId="0" borderId="1" xfId="0" applyFont="1" applyFill="1" applyBorder="1" applyAlignment="1" applyProtection="1">
      <alignment horizontal="center" vertical="center"/>
      <protection locked="0"/>
    </xf>
    <xf numFmtId="0" fontId="2" fillId="0" borderId="0" xfId="0" applyFont="1" applyBorder="1" applyAlignment="1" applyProtection="1">
      <alignment horizontal="center" vertical="top" wrapText="1"/>
      <protection locked="0"/>
    </xf>
    <xf numFmtId="0" fontId="3" fillId="0" borderId="0" xfId="0" applyFont="1" applyFill="1" applyBorder="1" applyAlignment="1">
      <alignment vertical="center"/>
    </xf>
    <xf numFmtId="0" fontId="2" fillId="0" borderId="0" xfId="0" applyFont="1" applyFill="1" applyBorder="1" applyAlignment="1" applyProtection="1">
      <alignment vertical="top" wrapText="1"/>
      <protection locked="0"/>
    </xf>
    <xf numFmtId="0" fontId="10" fillId="0" borderId="0" xfId="0" applyFont="1" applyBorder="1" applyAlignment="1">
      <alignment horizontal="center" vertical="center"/>
    </xf>
    <xf numFmtId="0" fontId="16" fillId="0" borderId="0" xfId="0" applyFont="1" applyBorder="1" applyAlignment="1">
      <alignment horizontal="center" vertical="center"/>
    </xf>
    <xf numFmtId="0" fontId="10" fillId="0" borderId="0" xfId="0" applyFont="1" applyBorder="1" applyAlignment="1" applyProtection="1">
      <alignment horizontal="center" vertical="center"/>
      <protection locked="0"/>
    </xf>
    <xf numFmtId="0" fontId="12" fillId="0" borderId="0" xfId="0" applyFont="1"/>
    <xf numFmtId="0" fontId="18" fillId="0" borderId="4" xfId="0" applyFont="1" applyFill="1" applyBorder="1" applyAlignment="1" applyProtection="1">
      <alignment horizontal="center" vertical="center"/>
      <protection locked="0"/>
    </xf>
    <xf numFmtId="0" fontId="8" fillId="0" borderId="0" xfId="0" applyFont="1" applyBorder="1" applyAlignment="1">
      <alignment horizontal="right" vertical="center"/>
    </xf>
    <xf numFmtId="0" fontId="3" fillId="0" borderId="4" xfId="0" applyFont="1" applyFill="1" applyBorder="1" applyAlignment="1" applyProtection="1">
      <alignment horizontal="center" vertical="center" wrapText="1"/>
      <protection locked="0"/>
    </xf>
    <xf numFmtId="0" fontId="3" fillId="0" borderId="6"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7" xfId="0" applyFont="1" applyFill="1" applyBorder="1" applyAlignment="1" applyProtection="1">
      <alignment horizontal="center" vertical="center" wrapText="1"/>
      <protection locked="0"/>
    </xf>
    <xf numFmtId="0" fontId="18" fillId="0" borderId="8" xfId="0" applyFont="1" applyFill="1" applyBorder="1" applyAlignment="1" applyProtection="1">
      <alignment horizontal="center" vertical="center"/>
      <protection locked="0"/>
    </xf>
    <xf numFmtId="0" fontId="0" fillId="0" borderId="0" xfId="0" applyAlignment="1">
      <alignment vertical="center" wrapText="1"/>
    </xf>
    <xf numFmtId="0" fontId="0" fillId="0" borderId="0" xfId="0" applyAlignment="1">
      <alignment wrapText="1"/>
    </xf>
    <xf numFmtId="0" fontId="3" fillId="0" borderId="0" xfId="0" applyFont="1" applyAlignment="1">
      <alignment vertical="center" wrapText="1"/>
    </xf>
    <xf numFmtId="0" fontId="0" fillId="0" borderId="9" xfId="0" applyBorder="1" applyAlignment="1">
      <alignment horizontal="right" vertical="center" wrapText="1"/>
    </xf>
    <xf numFmtId="0" fontId="4" fillId="0" borderId="10" xfId="0" applyFont="1" applyBorder="1" applyAlignment="1">
      <alignment vertical="center" wrapText="1"/>
    </xf>
    <xf numFmtId="0" fontId="18" fillId="0" borderId="11" xfId="0" applyFont="1" applyFill="1" applyBorder="1" applyAlignment="1" applyProtection="1">
      <alignment horizontal="center" vertical="center"/>
      <protection locked="0"/>
    </xf>
    <xf numFmtId="0" fontId="0" fillId="0" borderId="12" xfId="0" applyBorder="1" applyAlignment="1">
      <alignment horizontal="left" vertical="center" wrapText="1"/>
    </xf>
    <xf numFmtId="0" fontId="13" fillId="0" borderId="13"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15" fontId="13" fillId="0" borderId="13" xfId="0" applyNumberFormat="1" applyFont="1" applyBorder="1" applyAlignment="1" applyProtection="1">
      <alignment horizontal="left" vertical="center" wrapText="1"/>
      <protection locked="0"/>
    </xf>
    <xf numFmtId="0" fontId="0" fillId="0" borderId="14" xfId="0" applyBorder="1" applyAlignment="1">
      <alignment horizontal="left" vertical="center" wrapText="1"/>
    </xf>
    <xf numFmtId="0" fontId="13" fillId="0" borderId="15" xfId="0" applyFont="1" applyBorder="1" applyAlignment="1" applyProtection="1">
      <alignment horizontal="left" vertical="center" wrapText="1"/>
      <protection locked="0"/>
    </xf>
    <xf numFmtId="0" fontId="4" fillId="0" borderId="13" xfId="0" applyFont="1" applyBorder="1" applyAlignment="1" applyProtection="1">
      <alignment horizontal="left" vertical="center" wrapText="1"/>
    </xf>
    <xf numFmtId="0" fontId="14" fillId="0" borderId="0" xfId="0" applyFont="1" applyBorder="1" applyAlignment="1">
      <alignment horizontal="right" vertical="center"/>
    </xf>
    <xf numFmtId="0" fontId="3" fillId="0" borderId="16" xfId="0" applyFont="1" applyFill="1" applyBorder="1" applyAlignment="1" applyProtection="1">
      <alignment horizontal="center" vertical="center" wrapText="1"/>
      <protection locked="0"/>
    </xf>
    <xf numFmtId="0" fontId="18" fillId="0" borderId="4" xfId="0" applyFont="1" applyFill="1" applyBorder="1" applyAlignment="1" applyProtection="1">
      <alignment horizontal="center" vertical="center" wrapText="1"/>
      <protection locked="0"/>
    </xf>
    <xf numFmtId="0" fontId="3" fillId="0" borderId="8" xfId="0" applyFont="1" applyFill="1" applyBorder="1" applyAlignment="1" applyProtection="1">
      <alignment horizontal="center" vertical="center"/>
      <protection locked="0"/>
    </xf>
    <xf numFmtId="0" fontId="3" fillId="0" borderId="2" xfId="0" applyFont="1" applyFill="1" applyBorder="1" applyAlignment="1" applyProtection="1">
      <alignment horizontal="center" vertical="center"/>
      <protection locked="0"/>
    </xf>
    <xf numFmtId="0" fontId="3" fillId="2" borderId="4" xfId="0" applyFont="1" applyFill="1" applyBorder="1" applyAlignment="1" applyProtection="1">
      <alignment horizontal="center" vertical="center"/>
      <protection locked="0"/>
    </xf>
    <xf numFmtId="0" fontId="3" fillId="2" borderId="5" xfId="0" applyFont="1" applyFill="1" applyBorder="1" applyAlignment="1" applyProtection="1">
      <alignment horizontal="center" vertical="center"/>
      <protection locked="0"/>
    </xf>
    <xf numFmtId="0" fontId="18" fillId="2" borderId="4" xfId="0" applyFont="1" applyFill="1" applyBorder="1" applyAlignment="1" applyProtection="1">
      <alignment horizontal="center" vertical="center"/>
      <protection locked="0"/>
    </xf>
    <xf numFmtId="0" fontId="18" fillId="2" borderId="4" xfId="0" applyFont="1" applyFill="1" applyBorder="1" applyAlignment="1" applyProtection="1">
      <alignment horizontal="center" vertical="center" wrapText="1"/>
      <protection locked="0"/>
    </xf>
    <xf numFmtId="0" fontId="3" fillId="2" borderId="4" xfId="0" applyFont="1" applyFill="1" applyBorder="1" applyAlignment="1" applyProtection="1">
      <alignment horizontal="center" vertical="center" wrapText="1"/>
      <protection locked="0"/>
    </xf>
    <xf numFmtId="0" fontId="3" fillId="2" borderId="6" xfId="0" applyFont="1" applyFill="1" applyBorder="1" applyAlignment="1" applyProtection="1">
      <alignment horizontal="center" vertical="center" wrapText="1"/>
      <protection locked="0"/>
    </xf>
    <xf numFmtId="0" fontId="3" fillId="2" borderId="1" xfId="0" applyFont="1" applyFill="1" applyBorder="1" applyAlignment="1" applyProtection="1">
      <alignment horizontal="center" vertical="center" wrapText="1"/>
      <protection locked="0"/>
    </xf>
    <xf numFmtId="0" fontId="3" fillId="2" borderId="16" xfId="0" applyFont="1" applyFill="1" applyBorder="1" applyAlignment="1" applyProtection="1">
      <alignment horizontal="center" vertical="center" wrapText="1"/>
      <protection locked="0"/>
    </xf>
    <xf numFmtId="0" fontId="3" fillId="2" borderId="7" xfId="0" applyFont="1" applyFill="1" applyBorder="1" applyAlignment="1" applyProtection="1">
      <alignment horizontal="center" vertical="center" wrapText="1"/>
      <protection locked="0"/>
    </xf>
    <xf numFmtId="0" fontId="3" fillId="2" borderId="1" xfId="0" applyFont="1" applyFill="1" applyBorder="1" applyAlignment="1" applyProtection="1">
      <alignment horizontal="center" vertical="center"/>
      <protection locked="0"/>
    </xf>
    <xf numFmtId="9" fontId="19" fillId="0" borderId="0" xfId="0" applyNumberFormat="1" applyFont="1" applyBorder="1" applyAlignment="1">
      <alignment horizontal="center" vertical="center"/>
    </xf>
    <xf numFmtId="9" fontId="20" fillId="0" borderId="0" xfId="0" applyNumberFormat="1" applyFont="1" applyBorder="1" applyAlignment="1">
      <alignment horizontal="center" vertical="center"/>
    </xf>
    <xf numFmtId="0" fontId="3" fillId="0" borderId="0" xfId="0" applyFont="1" applyBorder="1" applyAlignment="1">
      <alignment horizontal="left" vertical="center"/>
    </xf>
    <xf numFmtId="0" fontId="16" fillId="0" borderId="11" xfId="0" applyFont="1" applyBorder="1" applyAlignment="1">
      <alignment horizontal="center" vertical="center"/>
    </xf>
    <xf numFmtId="0" fontId="11" fillId="0" borderId="0" xfId="0" applyFont="1" applyBorder="1" applyAlignment="1">
      <alignment horizontal="left" vertical="center"/>
    </xf>
    <xf numFmtId="0" fontId="22" fillId="0" borderId="0" xfId="0" applyFont="1" applyBorder="1" applyAlignment="1">
      <alignment vertical="center"/>
    </xf>
    <xf numFmtId="2" fontId="23" fillId="0" borderId="0" xfId="0" applyNumberFormat="1" applyFont="1" applyBorder="1" applyAlignment="1">
      <alignment horizontal="center" vertical="center"/>
    </xf>
    <xf numFmtId="0" fontId="23" fillId="0" borderId="0" xfId="0" applyFont="1" applyBorder="1" applyAlignment="1">
      <alignment vertical="center"/>
    </xf>
    <xf numFmtId="10" fontId="23" fillId="0" borderId="0" xfId="0" applyNumberFormat="1" applyFont="1" applyBorder="1" applyAlignment="1">
      <alignment vertical="center"/>
    </xf>
    <xf numFmtId="2" fontId="24" fillId="0" borderId="0" xfId="0" applyNumberFormat="1" applyFont="1" applyBorder="1" applyAlignment="1">
      <alignment horizontal="center" vertical="center"/>
    </xf>
    <xf numFmtId="9" fontId="22" fillId="0" borderId="0" xfId="0" applyNumberFormat="1" applyFont="1" applyBorder="1" applyAlignment="1">
      <alignment vertical="center"/>
    </xf>
    <xf numFmtId="10" fontId="23" fillId="0" borderId="0" xfId="0" applyNumberFormat="1" applyFont="1"/>
    <xf numFmtId="0" fontId="18" fillId="2" borderId="17" xfId="0" applyFont="1" applyFill="1" applyBorder="1" applyAlignment="1" applyProtection="1">
      <alignment horizontal="center" vertical="center"/>
      <protection locked="0"/>
    </xf>
    <xf numFmtId="0" fontId="18" fillId="0" borderId="17" xfId="0" applyFont="1" applyFill="1" applyBorder="1" applyAlignment="1" applyProtection="1">
      <alignment horizontal="center" vertical="center"/>
      <protection locked="0"/>
    </xf>
    <xf numFmtId="0" fontId="1" fillId="2" borderId="17" xfId="0" applyFont="1" applyFill="1" applyBorder="1" applyAlignment="1">
      <alignment horizontal="left" vertical="center" wrapText="1"/>
    </xf>
    <xf numFmtId="0" fontId="1" fillId="2" borderId="17" xfId="0" applyFont="1" applyFill="1" applyBorder="1" applyAlignment="1">
      <alignment vertical="center" wrapText="1"/>
    </xf>
    <xf numFmtId="0" fontId="1" fillId="2" borderId="18" xfId="0" applyFont="1" applyFill="1" applyBorder="1" applyAlignment="1">
      <alignment vertical="center" wrapText="1"/>
    </xf>
    <xf numFmtId="0" fontId="1" fillId="0" borderId="18" xfId="0" applyFont="1" applyFill="1" applyBorder="1" applyAlignment="1">
      <alignment vertical="center" wrapText="1"/>
    </xf>
    <xf numFmtId="0" fontId="1" fillId="0" borderId="17" xfId="0" applyFont="1" applyFill="1" applyBorder="1" applyAlignment="1">
      <alignment vertical="center" wrapText="1"/>
    </xf>
    <xf numFmtId="0" fontId="1" fillId="0" borderId="18" xfId="0" applyFont="1" applyBorder="1" applyAlignment="1">
      <alignment vertical="center" wrapText="1"/>
    </xf>
    <xf numFmtId="0" fontId="1" fillId="0" borderId="19" xfId="0" applyFont="1" applyFill="1" applyBorder="1" applyAlignment="1">
      <alignment vertical="center" wrapText="1"/>
    </xf>
    <xf numFmtId="0" fontId="11" fillId="0" borderId="13" xfId="0" applyFont="1" applyBorder="1" applyAlignment="1" applyProtection="1">
      <alignment horizontal="left" vertical="center" wrapText="1"/>
    </xf>
    <xf numFmtId="0" fontId="1" fillId="2" borderId="20" xfId="0" applyFont="1" applyFill="1" applyBorder="1" applyAlignment="1">
      <alignment horizontal="left" vertical="center" wrapText="1"/>
    </xf>
    <xf numFmtId="9" fontId="13" fillId="0" borderId="0" xfId="0" applyNumberFormat="1" applyFont="1" applyBorder="1" applyAlignment="1">
      <alignment horizontal="right" vertical="center"/>
    </xf>
    <xf numFmtId="0" fontId="1" fillId="0" borderId="20" xfId="0" applyFont="1" applyFill="1" applyBorder="1" applyAlignment="1">
      <alignment horizontal="left" vertical="center" wrapText="1"/>
    </xf>
    <xf numFmtId="0" fontId="18" fillId="2" borderId="21" xfId="0" applyFont="1" applyFill="1" applyBorder="1" applyAlignment="1" applyProtection="1">
      <alignment horizontal="center" vertical="center"/>
      <protection locked="0"/>
    </xf>
    <xf numFmtId="0" fontId="3" fillId="2" borderId="22"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1" fillId="2" borderId="23" xfId="0" applyFont="1" applyFill="1" applyBorder="1" applyAlignment="1">
      <alignment vertical="center" wrapText="1"/>
    </xf>
    <xf numFmtId="0" fontId="25" fillId="0" borderId="0" xfId="0" applyFont="1" applyBorder="1" applyAlignment="1">
      <alignment horizontal="center" vertical="center"/>
    </xf>
    <xf numFmtId="0" fontId="11" fillId="0" borderId="0" xfId="0" applyFont="1" applyBorder="1" applyAlignment="1">
      <alignment vertical="center"/>
    </xf>
    <xf numFmtId="9" fontId="26" fillId="0" borderId="0" xfId="0" applyNumberFormat="1" applyFont="1" applyBorder="1" applyAlignment="1">
      <alignment horizontal="center" vertical="center"/>
    </xf>
    <xf numFmtId="0" fontId="11" fillId="0" borderId="0" xfId="0" applyFont="1" applyFill="1" applyBorder="1" applyAlignment="1" applyProtection="1">
      <alignment horizontal="left" vertical="center"/>
    </xf>
    <xf numFmtId="0" fontId="27" fillId="0"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0" fontId="30" fillId="0" borderId="0" xfId="0" applyFont="1" applyFill="1" applyBorder="1" applyAlignment="1" applyProtection="1">
      <alignment vertical="top" wrapText="1"/>
    </xf>
    <xf numFmtId="0" fontId="30" fillId="0" borderId="0" xfId="0" applyFont="1" applyFill="1" applyBorder="1" applyAlignment="1" applyProtection="1">
      <alignment horizontal="center" vertical="top" wrapText="1"/>
    </xf>
    <xf numFmtId="14" fontId="27" fillId="0" borderId="0" xfId="0" applyNumberFormat="1" applyFont="1" applyFill="1" applyBorder="1" applyAlignment="1" applyProtection="1">
      <alignment horizontal="center" vertical="center"/>
    </xf>
    <xf numFmtId="0" fontId="14" fillId="0" borderId="0" xfId="0" applyFont="1" applyFill="1" applyBorder="1" applyAlignment="1" applyProtection="1">
      <alignment horizontal="center" vertical="center"/>
    </xf>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horizontal="center" vertical="center"/>
    </xf>
    <xf numFmtId="0" fontId="23" fillId="0" borderId="0" xfId="0" applyFont="1"/>
    <xf numFmtId="0" fontId="33" fillId="0" borderId="0" xfId="0" applyFont="1" applyFill="1" applyBorder="1" applyAlignment="1" applyProtection="1">
      <alignment horizontal="center" vertical="center" wrapText="1"/>
    </xf>
    <xf numFmtId="0" fontId="24" fillId="0" borderId="0" xfId="0" applyFont="1" applyBorder="1" applyAlignment="1">
      <alignment vertical="center"/>
    </xf>
    <xf numFmtId="0" fontId="3" fillId="0" borderId="30" xfId="0" applyFont="1" applyBorder="1" applyAlignment="1">
      <alignment horizontal="center" vertical="center" wrapText="1"/>
    </xf>
    <xf numFmtId="0" fontId="3" fillId="0" borderId="31" xfId="0" applyFont="1" applyBorder="1" applyAlignment="1">
      <alignment horizontal="center" vertical="center" wrapText="1"/>
    </xf>
    <xf numFmtId="0" fontId="3" fillId="0" borderId="32" xfId="0" applyFont="1" applyBorder="1" applyAlignment="1">
      <alignment horizontal="center" vertical="center" wrapText="1"/>
    </xf>
    <xf numFmtId="0" fontId="3" fillId="0" borderId="33" xfId="0" applyFont="1" applyBorder="1" applyAlignment="1">
      <alignment horizontal="center" vertical="center" wrapText="1"/>
    </xf>
    <xf numFmtId="0" fontId="4" fillId="3" borderId="26" xfId="0" applyFont="1" applyFill="1" applyBorder="1" applyAlignment="1">
      <alignment horizontal="center" vertical="center" wrapText="1"/>
    </xf>
    <xf numFmtId="0" fontId="3" fillId="3" borderId="27" xfId="0" applyFont="1" applyFill="1" applyBorder="1" applyAlignment="1">
      <alignment horizontal="center" vertical="center" wrapText="1"/>
    </xf>
    <xf numFmtId="0" fontId="4" fillId="3" borderId="27" xfId="0" applyFont="1" applyFill="1" applyBorder="1" applyAlignment="1">
      <alignment horizontal="center" vertical="center" wrapText="1"/>
    </xf>
    <xf numFmtId="0" fontId="4" fillId="3" borderId="24" xfId="0" applyFont="1" applyFill="1" applyBorder="1" applyAlignment="1">
      <alignment horizontal="center" vertical="center" wrapText="1"/>
    </xf>
    <xf numFmtId="0" fontId="4" fillId="3" borderId="25" xfId="0" applyFont="1" applyFill="1" applyBorder="1" applyAlignment="1">
      <alignment horizontal="center" vertical="center" wrapText="1"/>
    </xf>
    <xf numFmtId="0" fontId="0" fillId="0" borderId="28" xfId="0" applyBorder="1" applyAlignment="1" applyProtection="1">
      <alignment horizontal="center" vertical="center" wrapText="1"/>
      <protection locked="0"/>
    </xf>
    <xf numFmtId="0" fontId="0" fillId="0" borderId="29" xfId="0" applyBorder="1" applyAlignment="1" applyProtection="1">
      <alignment horizontal="center" vertical="center" wrapText="1"/>
      <protection locked="0"/>
    </xf>
    <xf numFmtId="0" fontId="5" fillId="0" borderId="30" xfId="0" applyFont="1" applyBorder="1" applyAlignment="1">
      <alignment horizontal="center" vertical="center" wrapText="1"/>
    </xf>
    <xf numFmtId="0" fontId="5" fillId="0" borderId="31"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29" xfId="0" applyFont="1" applyBorder="1" applyAlignment="1">
      <alignment horizontal="center" vertical="center" wrapText="1"/>
    </xf>
    <xf numFmtId="0" fontId="3" fillId="0" borderId="28" xfId="0" applyFont="1" applyBorder="1" applyAlignment="1">
      <alignment horizontal="center" vertical="center" wrapText="1"/>
    </xf>
    <xf numFmtId="0" fontId="3" fillId="0" borderId="29" xfId="0" applyFont="1" applyBorder="1" applyAlignment="1">
      <alignment horizontal="center" vertical="center" wrapText="1"/>
    </xf>
    <xf numFmtId="9" fontId="11" fillId="0" borderId="0" xfId="0" applyNumberFormat="1" applyFont="1" applyBorder="1" applyAlignment="1">
      <alignment horizontal="center" vertical="center" wrapText="1"/>
    </xf>
    <xf numFmtId="0" fontId="14" fillId="0" borderId="0" xfId="0" applyFont="1" applyBorder="1" applyAlignment="1">
      <alignment horizontal="center" vertical="center"/>
    </xf>
    <xf numFmtId="0" fontId="4" fillId="0" borderId="0" xfId="0" applyFont="1" applyBorder="1" applyAlignment="1">
      <alignment horizontal="center" vertical="center"/>
    </xf>
    <xf numFmtId="10" fontId="21" fillId="0" borderId="0" xfId="0" applyNumberFormat="1" applyFont="1" applyBorder="1" applyAlignment="1">
      <alignment horizontal="center" vertical="center"/>
    </xf>
    <xf numFmtId="0" fontId="21" fillId="0" borderId="0" xfId="0" applyFont="1" applyBorder="1" applyAlignment="1">
      <alignment horizontal="center" vertical="center"/>
    </xf>
    <xf numFmtId="0" fontId="4" fillId="3" borderId="43" xfId="0" applyFont="1" applyFill="1" applyBorder="1" applyAlignment="1">
      <alignment horizontal="left" vertical="center"/>
    </xf>
    <xf numFmtId="0" fontId="4" fillId="3" borderId="55" xfId="0" applyFont="1" applyFill="1" applyBorder="1" applyAlignment="1">
      <alignment horizontal="left" vertical="center"/>
    </xf>
    <xf numFmtId="0" fontId="4" fillId="3" borderId="56" xfId="0" applyFont="1" applyFill="1" applyBorder="1" applyAlignment="1">
      <alignment horizontal="left" vertical="center"/>
    </xf>
    <xf numFmtId="0" fontId="4" fillId="3" borderId="43" xfId="0" applyFont="1" applyFill="1" applyBorder="1" applyAlignment="1">
      <alignment horizontal="left" vertical="center" wrapText="1"/>
    </xf>
    <xf numFmtId="0" fontId="4" fillId="3" borderId="55" xfId="0" applyFont="1" applyFill="1" applyBorder="1" applyAlignment="1">
      <alignment horizontal="left" vertical="center" wrapText="1"/>
    </xf>
    <xf numFmtId="0" fontId="4" fillId="3" borderId="56" xfId="0" applyFont="1" applyFill="1" applyBorder="1" applyAlignment="1">
      <alignment horizontal="left" vertical="center" wrapText="1"/>
    </xf>
    <xf numFmtId="0" fontId="4" fillId="3" borderId="50" xfId="0" applyFont="1" applyFill="1" applyBorder="1" applyAlignment="1">
      <alignment horizontal="left" vertical="center" wrapText="1"/>
    </xf>
    <xf numFmtId="0" fontId="4" fillId="3" borderId="51" xfId="0" applyFont="1" applyFill="1" applyBorder="1" applyAlignment="1">
      <alignment horizontal="left" vertical="center" wrapText="1"/>
    </xf>
    <xf numFmtId="0" fontId="4" fillId="3" borderId="3" xfId="0" applyFont="1" applyFill="1" applyBorder="1" applyAlignment="1">
      <alignment horizontal="left" vertical="center" wrapText="1"/>
    </xf>
    <xf numFmtId="0" fontId="3" fillId="0" borderId="45" xfId="0" applyFont="1" applyBorder="1" applyAlignment="1">
      <alignment horizontal="left" vertical="center" wrapText="1"/>
    </xf>
    <xf numFmtId="0" fontId="3" fillId="0" borderId="23" xfId="0" applyFont="1" applyBorder="1" applyAlignment="1">
      <alignment horizontal="left" vertical="center" wrapText="1"/>
    </xf>
    <xf numFmtId="0" fontId="3" fillId="0" borderId="45" xfId="0" applyFont="1" applyFill="1" applyBorder="1" applyAlignment="1">
      <alignment horizontal="left" vertical="center" wrapText="1"/>
    </xf>
    <xf numFmtId="0" fontId="3" fillId="0" borderId="0" xfId="0" applyFont="1" applyFill="1" applyBorder="1" applyAlignment="1">
      <alignment horizontal="left" vertical="center" wrapText="1"/>
    </xf>
    <xf numFmtId="0" fontId="4" fillId="0" borderId="47" xfId="0" applyFont="1" applyFill="1" applyBorder="1" applyAlignment="1">
      <alignment horizontal="center" vertical="center" wrapText="1"/>
    </xf>
    <xf numFmtId="0" fontId="4" fillId="0" borderId="54" xfId="0" applyFont="1" applyFill="1" applyBorder="1" applyAlignment="1">
      <alignment horizontal="center" vertical="center" wrapText="1"/>
    </xf>
    <xf numFmtId="0" fontId="4" fillId="0" borderId="48" xfId="0" applyFont="1" applyFill="1" applyBorder="1" applyAlignment="1">
      <alignment horizontal="center" vertical="center" wrapText="1"/>
    </xf>
    <xf numFmtId="0" fontId="3" fillId="0" borderId="0" xfId="0" applyFont="1" applyBorder="1" applyAlignment="1">
      <alignment horizontal="left" vertical="center" wrapText="1"/>
    </xf>
    <xf numFmtId="0" fontId="3" fillId="0" borderId="46" xfId="0" applyFont="1" applyBorder="1" applyAlignment="1">
      <alignment horizontal="left" vertical="center" wrapText="1"/>
    </xf>
    <xf numFmtId="0" fontId="4" fillId="0" borderId="49" xfId="0" applyFont="1" applyFill="1" applyBorder="1" applyAlignment="1">
      <alignment horizontal="center" vertical="center" wrapText="1"/>
    </xf>
    <xf numFmtId="164" fontId="3" fillId="0" borderId="46" xfId="0" applyNumberFormat="1" applyFont="1" applyFill="1" applyBorder="1" applyAlignment="1">
      <alignment horizontal="center" vertical="center"/>
    </xf>
    <xf numFmtId="0" fontId="3" fillId="0" borderId="46" xfId="0" applyFont="1" applyBorder="1" applyAlignment="1">
      <alignment horizontal="center" vertical="center"/>
    </xf>
    <xf numFmtId="0" fontId="4" fillId="4" borderId="52" xfId="0" applyFont="1" applyFill="1" applyBorder="1" applyAlignment="1">
      <alignment horizontal="center" vertical="center"/>
    </xf>
    <xf numFmtId="0" fontId="4" fillId="4" borderId="41" xfId="0" applyFont="1" applyFill="1" applyBorder="1" applyAlignment="1">
      <alignment horizontal="center" vertical="center"/>
    </xf>
    <xf numFmtId="0" fontId="2" fillId="0" borderId="49" xfId="0" applyFont="1" applyBorder="1" applyAlignment="1" applyProtection="1">
      <alignment vertical="top" wrapText="1"/>
      <protection locked="0"/>
    </xf>
    <xf numFmtId="0" fontId="2" fillId="0" borderId="46" xfId="0" applyFont="1" applyBorder="1" applyAlignment="1" applyProtection="1">
      <alignment vertical="top" wrapText="1"/>
      <protection locked="0"/>
    </xf>
    <xf numFmtId="0" fontId="2" fillId="0" borderId="53" xfId="0" applyFont="1" applyBorder="1" applyAlignment="1" applyProtection="1">
      <alignment vertical="top" wrapText="1"/>
      <protection locked="0"/>
    </xf>
    <xf numFmtId="0" fontId="28" fillId="0" borderId="46" xfId="0" applyFont="1" applyBorder="1" applyAlignment="1">
      <alignment horizontal="right" vertical="center"/>
    </xf>
    <xf numFmtId="0" fontId="29" fillId="0" borderId="46" xfId="0" applyFont="1" applyBorder="1" applyAlignment="1">
      <alignment horizontal="right" vertical="center"/>
    </xf>
    <xf numFmtId="164" fontId="4" fillId="0" borderId="38" xfId="0" applyNumberFormat="1" applyFont="1" applyBorder="1" applyAlignment="1" applyProtection="1">
      <alignment horizontal="center" vertical="center"/>
      <protection locked="0"/>
    </xf>
    <xf numFmtId="164" fontId="4" fillId="0" borderId="39" xfId="0" applyNumberFormat="1" applyFont="1" applyBorder="1" applyAlignment="1" applyProtection="1">
      <alignment horizontal="center" vertical="center"/>
      <protection locked="0"/>
    </xf>
    <xf numFmtId="0" fontId="4" fillId="0" borderId="39" xfId="0" applyFont="1" applyBorder="1" applyAlignment="1">
      <alignment horizontal="center" vertical="center"/>
    </xf>
    <xf numFmtId="0" fontId="4" fillId="0" borderId="40" xfId="0" applyFont="1" applyBorder="1" applyAlignment="1">
      <alignment horizontal="center" vertical="center"/>
    </xf>
    <xf numFmtId="0" fontId="11" fillId="4" borderId="41" xfId="0" applyFont="1" applyFill="1" applyBorder="1" applyAlignment="1">
      <alignment horizontal="center" vertical="center"/>
    </xf>
    <xf numFmtId="0" fontId="11" fillId="4" borderId="42" xfId="0" applyFont="1" applyFill="1" applyBorder="1" applyAlignment="1">
      <alignment horizontal="center" vertical="center"/>
    </xf>
    <xf numFmtId="0" fontId="9" fillId="4" borderId="39" xfId="0" applyFont="1" applyFill="1" applyBorder="1" applyAlignment="1">
      <alignment horizontal="center" vertical="center"/>
    </xf>
    <xf numFmtId="0" fontId="9" fillId="4" borderId="40" xfId="0" applyFont="1" applyFill="1" applyBorder="1" applyAlignment="1">
      <alignment horizontal="center" vertical="center"/>
    </xf>
    <xf numFmtId="0" fontId="4" fillId="0" borderId="43" xfId="0" applyFont="1" applyBorder="1" applyAlignment="1">
      <alignment horizontal="center" vertical="center" wrapText="1"/>
    </xf>
    <xf numFmtId="0" fontId="0" fillId="0" borderId="44" xfId="0" applyBorder="1"/>
    <xf numFmtId="0" fontId="3" fillId="0" borderId="45" xfId="0" applyFont="1" applyBorder="1" applyAlignment="1">
      <alignment horizontal="center" vertical="center" wrapText="1"/>
    </xf>
    <xf numFmtId="0" fontId="3" fillId="0" borderId="0" xfId="0" applyFont="1" applyBorder="1" applyAlignment="1">
      <alignment horizontal="center" vertical="center" wrapText="1"/>
    </xf>
    <xf numFmtId="0" fontId="3" fillId="0" borderId="46" xfId="0" applyFont="1" applyBorder="1" applyAlignment="1">
      <alignment horizontal="center" vertical="center" wrapText="1"/>
    </xf>
    <xf numFmtId="0" fontId="18" fillId="0" borderId="0" xfId="0" applyFont="1" applyBorder="1" applyAlignment="1">
      <alignment horizontal="right" vertical="center"/>
    </xf>
    <xf numFmtId="164" fontId="9" fillId="4" borderId="38" xfId="0" applyNumberFormat="1" applyFont="1" applyFill="1" applyBorder="1" applyAlignment="1">
      <alignment horizontal="center" vertical="center"/>
    </xf>
    <xf numFmtId="164" fontId="9" fillId="4" borderId="39" xfId="0" applyNumberFormat="1" applyFont="1" applyFill="1" applyBorder="1" applyAlignment="1">
      <alignment horizontal="center" vertical="center"/>
    </xf>
    <xf numFmtId="0" fontId="4" fillId="0" borderId="50" xfId="0" applyFont="1" applyBorder="1" applyAlignment="1">
      <alignment horizontal="center" vertical="center"/>
    </xf>
    <xf numFmtId="0" fontId="4" fillId="0" borderId="51" xfId="0" applyFont="1" applyBorder="1" applyAlignment="1">
      <alignment horizontal="center" vertical="center"/>
    </xf>
    <xf numFmtId="0" fontId="4" fillId="0" borderId="3" xfId="0" applyFont="1" applyBorder="1" applyAlignment="1">
      <alignment horizontal="center" vertical="center"/>
    </xf>
    <xf numFmtId="0" fontId="3" fillId="0" borderId="34" xfId="0" applyFont="1" applyBorder="1" applyAlignment="1" applyProtection="1">
      <alignment horizontal="center" vertical="center" wrapText="1"/>
      <protection locked="0"/>
    </xf>
    <xf numFmtId="0" fontId="0" fillId="0" borderId="35" xfId="0" applyBorder="1"/>
    <xf numFmtId="0" fontId="3" fillId="0" borderId="36" xfId="0" applyFont="1" applyBorder="1" applyAlignment="1" applyProtection="1">
      <alignment horizontal="center" vertical="center" wrapText="1"/>
      <protection locked="0"/>
    </xf>
    <xf numFmtId="0" fontId="0" fillId="0" borderId="17" xfId="0" applyBorder="1"/>
    <xf numFmtId="14" fontId="13" fillId="0" borderId="37" xfId="0" applyNumberFormat="1" applyFont="1" applyBorder="1" applyAlignment="1" applyProtection="1">
      <alignment horizontal="center" vertical="center"/>
      <protection locked="0"/>
    </xf>
    <xf numFmtId="14" fontId="13" fillId="0" borderId="8" xfId="0" applyNumberFormat="1" applyFont="1" applyBorder="1" applyAlignment="1" applyProtection="1">
      <alignment horizontal="center" vertical="center"/>
      <protection locked="0"/>
    </xf>
    <xf numFmtId="14" fontId="13" fillId="0" borderId="2" xfId="0" applyNumberFormat="1" applyFont="1" applyBorder="1" applyAlignment="1" applyProtection="1">
      <alignment horizontal="center" vertical="center"/>
      <protection locked="0"/>
    </xf>
    <xf numFmtId="14" fontId="15" fillId="0" borderId="0" xfId="0" applyNumberFormat="1" applyFont="1" applyBorder="1" applyAlignment="1">
      <alignment horizontal="center" vertical="center"/>
    </xf>
    <xf numFmtId="0" fontId="15" fillId="0" borderId="0" xfId="0" applyFont="1" applyBorder="1" applyAlignment="1">
      <alignment horizontal="center" vertical="center"/>
    </xf>
    <xf numFmtId="0" fontId="3" fillId="0" borderId="36" xfId="0" applyFont="1" applyFill="1" applyBorder="1" applyAlignment="1" applyProtection="1">
      <alignment horizontal="center" vertical="center" wrapText="1"/>
      <protection locked="0"/>
    </xf>
    <xf numFmtId="0" fontId="3" fillId="0" borderId="17" xfId="0" applyFont="1" applyFill="1" applyBorder="1" applyAlignment="1" applyProtection="1">
      <alignment horizontal="center" vertical="center" wrapText="1"/>
      <protection locked="0"/>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5.9602841741391188E-2"/>
          <c:y val="3.7313432835820892E-2"/>
          <c:w val="0.90728770206339915"/>
          <c:h val="0.80597014925373134"/>
        </c:manualLayout>
      </c:layout>
      <c:barChart>
        <c:barDir val="bar"/>
        <c:grouping val="clustered"/>
        <c:ser>
          <c:idx val="0"/>
          <c:order val="0"/>
          <c:spPr>
            <a:solidFill>
              <a:srgbClr val="000000"/>
            </a:solidFill>
            <a:ln w="12700">
              <a:solidFill>
                <a:srgbClr val="000000"/>
              </a:solidFill>
              <a:prstDash val="solid"/>
            </a:ln>
          </c:spPr>
          <c:invertIfNegative val="1"/>
          <c:val>
            <c:numRef>
              <c:f>Notation!$O$5:$O$10</c:f>
              <c:numCache>
                <c:formatCode>0.00%</c:formatCode>
                <c:ptCount val="6"/>
                <c:pt idx="0">
                  <c:v>0</c:v>
                </c:pt>
                <c:pt idx="1">
                  <c:v>0</c:v>
                </c:pt>
                <c:pt idx="2">
                  <c:v>0</c:v>
                </c:pt>
                <c:pt idx="3">
                  <c:v>0</c:v>
                </c:pt>
                <c:pt idx="4">
                  <c:v>0</c:v>
                </c:pt>
                <c:pt idx="5">
                  <c:v>0</c:v>
                </c:pt>
              </c:numCache>
            </c:numRef>
          </c:val>
        </c:ser>
        <c:axId val="52601600"/>
        <c:axId val="52603520"/>
      </c:barChart>
      <c:catAx>
        <c:axId val="52601600"/>
        <c:scaling>
          <c:orientation val="maxMin"/>
        </c:scaling>
        <c:delete val="1"/>
        <c:axPos val="l"/>
        <c:majorGridlines>
          <c:spPr>
            <a:ln w="3175">
              <a:solidFill>
                <a:srgbClr val="000000"/>
              </a:solidFill>
              <a:prstDash val="solid"/>
            </a:ln>
          </c:spPr>
        </c:majorGridlines>
        <c:tickLblPos val="none"/>
        <c:crossAx val="52603520"/>
        <c:crosses val="autoZero"/>
        <c:auto val="1"/>
        <c:lblAlgn val="ctr"/>
        <c:lblOffset val="100"/>
      </c:catAx>
      <c:valAx>
        <c:axId val="52603520"/>
        <c:scaling>
          <c:orientation val="minMax"/>
          <c:max val="1"/>
          <c:min val="0"/>
        </c:scaling>
        <c:delete val="1"/>
        <c:axPos val="t"/>
        <c:numFmt formatCode="0.00%" sourceLinked="1"/>
        <c:tickLblPos val="none"/>
        <c:crossAx val="52601600"/>
        <c:crosses val="autoZero"/>
        <c:crossBetween val="between"/>
        <c:majorUnit val="0.33329999999999999"/>
      </c:valAx>
      <c:spPr>
        <a:solidFill>
          <a:srgbClr val="FFFF99"/>
        </a:solidFill>
        <a:ln w="12700">
          <a:solidFill>
            <a:srgbClr val="808080"/>
          </a:solidFill>
          <a:prstDash val="solid"/>
        </a:ln>
      </c:spPr>
    </c:plotArea>
    <c:plotVisOnly val="1"/>
    <c:dispBlanksAs val="gap"/>
  </c:chart>
  <c:spPr>
    <a:noFill/>
    <a:ln w="9525">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5.3691275167785234E-2"/>
          <c:y val="2.2831152036743886E-2"/>
          <c:w val="0.91946308724832215"/>
          <c:h val="0.9589083855432432"/>
        </c:manualLayout>
      </c:layout>
      <c:barChart>
        <c:barDir val="bar"/>
        <c:grouping val="clustered"/>
        <c:ser>
          <c:idx val="0"/>
          <c:order val="0"/>
          <c:spPr>
            <a:solidFill>
              <a:srgbClr val="000000"/>
            </a:solidFill>
            <a:ln w="12700">
              <a:solidFill>
                <a:srgbClr val="000000"/>
              </a:solidFill>
              <a:prstDash val="solid"/>
            </a:ln>
          </c:spPr>
          <c:invertIfNegative val="1"/>
          <c:val>
            <c:numRef>
              <c:f>Notation!$O$12:$O$23</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axId val="52784512"/>
        <c:axId val="52868224"/>
      </c:barChart>
      <c:catAx>
        <c:axId val="52784512"/>
        <c:scaling>
          <c:orientation val="maxMin"/>
        </c:scaling>
        <c:delete val="1"/>
        <c:axPos val="l"/>
        <c:majorGridlines>
          <c:spPr>
            <a:ln w="3175">
              <a:solidFill>
                <a:srgbClr val="000000"/>
              </a:solidFill>
              <a:prstDash val="solid"/>
            </a:ln>
          </c:spPr>
        </c:majorGridlines>
        <c:tickLblPos val="none"/>
        <c:crossAx val="52868224"/>
        <c:crosses val="autoZero"/>
        <c:auto val="1"/>
        <c:lblAlgn val="ctr"/>
        <c:lblOffset val="100"/>
      </c:catAx>
      <c:valAx>
        <c:axId val="52868224"/>
        <c:scaling>
          <c:orientation val="minMax"/>
          <c:max val="1"/>
          <c:min val="0"/>
        </c:scaling>
        <c:delete val="1"/>
        <c:axPos val="t"/>
        <c:numFmt formatCode="0.00%" sourceLinked="1"/>
        <c:tickLblPos val="none"/>
        <c:crossAx val="52784512"/>
        <c:crosses val="autoZero"/>
        <c:crossBetween val="between"/>
        <c:majorUnit val="0.33329999999999999"/>
      </c:valAx>
      <c:spPr>
        <a:solidFill>
          <a:srgbClr val="CCFFFF"/>
        </a:solidFill>
        <a:ln w="3175">
          <a:solidFill>
            <a:srgbClr val="000000"/>
          </a:solidFill>
          <a:prstDash val="solid"/>
        </a:ln>
      </c:spPr>
    </c:plotArea>
    <c:plotVisOnly val="1"/>
    <c:dispBlanksAs val="gap"/>
  </c:chart>
  <c:spPr>
    <a:noFill/>
    <a:ln w="9525">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4921259845" footer="0.492125984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6.7114093959731544E-2"/>
          <c:y val="3.4246575342465752E-2"/>
          <c:w val="0.90604026845637586"/>
          <c:h val="0.93835616438356162"/>
        </c:manualLayout>
      </c:layout>
      <c:barChart>
        <c:barDir val="bar"/>
        <c:grouping val="clustered"/>
        <c:ser>
          <c:idx val="0"/>
          <c:order val="0"/>
          <c:spPr>
            <a:solidFill>
              <a:srgbClr val="000000"/>
            </a:solidFill>
            <a:ln w="12700">
              <a:solidFill>
                <a:srgbClr val="000000"/>
              </a:solidFill>
              <a:prstDash val="solid"/>
            </a:ln>
          </c:spPr>
          <c:invertIfNegative val="1"/>
          <c:val>
            <c:numRef>
              <c:f>Notation!$O$25:$O$32</c:f>
              <c:numCache>
                <c:formatCode>0.00%</c:formatCode>
                <c:ptCount val="8"/>
                <c:pt idx="0">
                  <c:v>0</c:v>
                </c:pt>
                <c:pt idx="1">
                  <c:v>0</c:v>
                </c:pt>
                <c:pt idx="2">
                  <c:v>0</c:v>
                </c:pt>
                <c:pt idx="3">
                  <c:v>0</c:v>
                </c:pt>
                <c:pt idx="4">
                  <c:v>0</c:v>
                </c:pt>
                <c:pt idx="5">
                  <c:v>0</c:v>
                </c:pt>
                <c:pt idx="6">
                  <c:v>0</c:v>
                </c:pt>
                <c:pt idx="7">
                  <c:v>0</c:v>
                </c:pt>
              </c:numCache>
            </c:numRef>
          </c:val>
        </c:ser>
        <c:axId val="55995776"/>
        <c:axId val="56002048"/>
      </c:barChart>
      <c:catAx>
        <c:axId val="55995776"/>
        <c:scaling>
          <c:orientation val="maxMin"/>
        </c:scaling>
        <c:delete val="1"/>
        <c:axPos val="l"/>
        <c:majorGridlines>
          <c:spPr>
            <a:ln w="3175">
              <a:solidFill>
                <a:srgbClr val="000000"/>
              </a:solidFill>
              <a:prstDash val="solid"/>
            </a:ln>
          </c:spPr>
        </c:majorGridlines>
        <c:tickLblPos val="none"/>
        <c:crossAx val="56002048"/>
        <c:crosses val="autoZero"/>
        <c:auto val="1"/>
        <c:lblAlgn val="ctr"/>
        <c:lblOffset val="100"/>
      </c:catAx>
      <c:valAx>
        <c:axId val="56002048"/>
        <c:scaling>
          <c:orientation val="minMax"/>
          <c:max val="1"/>
          <c:min val="0"/>
        </c:scaling>
        <c:delete val="1"/>
        <c:axPos val="t"/>
        <c:numFmt formatCode="0.00%" sourceLinked="1"/>
        <c:tickLblPos val="none"/>
        <c:crossAx val="55995776"/>
        <c:crosses val="autoZero"/>
        <c:crossBetween val="between"/>
        <c:majorUnit val="0.33329999999999999"/>
      </c:valAx>
      <c:spPr>
        <a:solidFill>
          <a:srgbClr val="FFCC99"/>
        </a:solidFill>
        <a:ln w="3175">
          <a:solidFill>
            <a:srgbClr val="000000"/>
          </a:solidFill>
          <a:prstDash val="solid"/>
        </a:ln>
      </c:spPr>
    </c:plotArea>
    <c:plotVisOnly val="1"/>
    <c:dispBlanksAs val="gap"/>
  </c:chart>
  <c:spPr>
    <a:noFill/>
    <a:ln w="9525">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fr-FR"/>
  <c:chart>
    <c:plotArea>
      <c:layout/>
      <c:barChart>
        <c:barDir val="bar"/>
        <c:grouping val="clustered"/>
        <c:ser>
          <c:idx val="0"/>
          <c:order val="0"/>
          <c:spPr>
            <a:solidFill>
              <a:srgbClr val="000000"/>
            </a:solidFill>
            <a:ln w="12700">
              <a:solidFill>
                <a:srgbClr val="000000"/>
              </a:solidFill>
              <a:prstDash val="solid"/>
            </a:ln>
          </c:spPr>
          <c:invertIfNegative val="1"/>
          <c:val>
            <c:numRef>
              <c:f>Notation!#REF!</c:f>
              <c:numCache>
                <c:formatCode>General</c:formatCode>
                <c:ptCount val="1"/>
                <c:pt idx="0">
                  <c:v>1</c:v>
                </c:pt>
              </c:numCache>
            </c:numRef>
          </c:val>
        </c:ser>
        <c:axId val="56210176"/>
        <c:axId val="56212864"/>
      </c:barChart>
      <c:catAx>
        <c:axId val="56210176"/>
        <c:scaling>
          <c:orientation val="maxMin"/>
        </c:scaling>
        <c:delete val="1"/>
        <c:axPos val="l"/>
        <c:majorGridlines>
          <c:spPr>
            <a:ln w="3175">
              <a:solidFill>
                <a:srgbClr val="000000"/>
              </a:solidFill>
              <a:prstDash val="solid"/>
            </a:ln>
          </c:spPr>
        </c:majorGridlines>
        <c:tickLblPos val="none"/>
        <c:crossAx val="56212864"/>
        <c:crosses val="autoZero"/>
        <c:auto val="1"/>
        <c:lblAlgn val="ctr"/>
        <c:lblOffset val="100"/>
      </c:catAx>
      <c:valAx>
        <c:axId val="56212864"/>
        <c:scaling>
          <c:orientation val="minMax"/>
          <c:max val="1"/>
          <c:min val="0"/>
        </c:scaling>
        <c:delete val="1"/>
        <c:axPos val="t"/>
        <c:numFmt formatCode="General" sourceLinked="1"/>
        <c:tickLblPos val="none"/>
        <c:crossAx val="56210176"/>
        <c:crosses val="autoZero"/>
        <c:crossBetween val="between"/>
        <c:majorUnit val="0.33329999999999999"/>
      </c:valAx>
      <c:spPr>
        <a:solidFill>
          <a:srgbClr val="CC99FF"/>
        </a:solidFill>
        <a:ln w="3175">
          <a:solidFill>
            <a:srgbClr val="000000"/>
          </a:solidFill>
          <a:prstDash val="solid"/>
        </a:ln>
      </c:spPr>
    </c:plotArea>
    <c:plotVisOnly val="1"/>
    <c:dispBlanksAs val="gap"/>
  </c:chart>
  <c:spPr>
    <a:noFill/>
    <a:ln w="9525">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4921259845" footer="0.492125984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spPr>
            <a:solidFill>
              <a:srgbClr val="9999FF"/>
            </a:solidFill>
            <a:ln w="12700">
              <a:solidFill>
                <a:srgbClr val="000000"/>
              </a:solidFill>
              <a:prstDash val="solid"/>
            </a:ln>
          </c:spPr>
          <c:cat>
            <c:strLit>
              <c:ptCount val="17"/>
              <c:pt idx="0">
                <c:v>Exactitude et précision des descriptions techniques</c:v>
              </c:pt>
              <c:pt idx="1">
                <c:v>Concision et lisibilité des informations.</c:v>
              </c:pt>
              <c:pt idx="2">
                <c:v>Pertinence de la définition du rôle tenu au sein du groupe.</c:v>
              </c:pt>
              <c:pt idx="3">
                <c:v>Pertinence des interventions.</c:v>
              </c:pt>
              <c:pt idx="4">
                <c:v>Pertinence et maîtrise des moyens de communication retenus.</c:v>
              </c:pt>
              <c:pt idx="5">
                <c:v>Pertinence du choix des essais à mettre en place.</c:v>
              </c:pt>
              <c:pt idx="6">
                <c:v>Pertinence des indicateurs en vue de qualification.</c:v>
              </c:pt>
              <c:pt idx="7">
                <c:v>Pertinence du protocole d'essai proposé.</c:v>
              </c:pt>
              <c:pt idx="8">
                <c:v>Les essais sont mis en œuvre de façon à garantir la validité et l'exploitabilité des résultats.</c:v>
              </c:pt>
              <c:pt idx="9">
                <c:v>Pertinence des conclusions relatives à la qualification(point de vue technique et économique).</c:v>
              </c:pt>
              <c:pt idx="10">
                <c:v>Cohérence du mode de surveillance choisi au regard des conclusions relatives à la qualification.</c:v>
              </c:pt>
              <c:pt idx="11">
                <c:v>Le moyen est mis en œuvre dans le respect des données de production.</c:v>
              </c:pt>
              <c:pt idx="12">
                <c:v>Exactitude du protocole de contrôle des caractéristiques et/ou performances du moyen.</c:v>
              </c:pt>
              <c:pt idx="13">
                <c:v>Pertinence de l'identification des critères d'amélioration technico-économiques.</c:v>
              </c:pt>
              <c:pt idx="14">
                <c:v>Exactitude de la mise en oeuvre de la méthode ou de l’outil d’amélioration de la qualité.</c:v>
              </c:pt>
              <c:pt idx="15">
                <c:v>Pertinence des améliorations proposées.</c:v>
              </c:pt>
              <c:pt idx="16">
                <c:v>Les modifications sont correctement intégrées au processus.</c:v>
              </c:pt>
            </c:strLit>
          </c:cat>
          <c:val>
            <c:numLit>
              <c:formatCode>General</c:formatCode>
              <c:ptCount val="17"/>
              <c:pt idx="0">
                <c:v>0</c:v>
              </c:pt>
              <c:pt idx="1">
                <c:v>0</c:v>
              </c:pt>
              <c:pt idx="2">
                <c:v>0</c:v>
              </c:pt>
              <c:pt idx="3">
                <c:v>0</c:v>
              </c:pt>
              <c:pt idx="4">
                <c:v>0</c:v>
              </c:pt>
              <c:pt idx="5">
                <c:v>1</c:v>
              </c:pt>
              <c:pt idx="6">
                <c:v>0.66666666666666652</c:v>
              </c:pt>
              <c:pt idx="7">
                <c:v>0.77777777777777768</c:v>
              </c:pt>
              <c:pt idx="8">
                <c:v>0.49999999999999983</c:v>
              </c:pt>
              <c:pt idx="9">
                <c:v>0.33333333333333326</c:v>
              </c:pt>
              <c:pt idx="10">
                <c:v>0</c:v>
              </c:pt>
              <c:pt idx="11">
                <c:v>0</c:v>
              </c:pt>
              <c:pt idx="12">
                <c:v>0</c:v>
              </c:pt>
              <c:pt idx="13">
                <c:v>0</c:v>
              </c:pt>
              <c:pt idx="14">
                <c:v>0</c:v>
              </c:pt>
              <c:pt idx="15">
                <c:v>0</c:v>
              </c:pt>
              <c:pt idx="16">
                <c:v>0</c:v>
              </c:pt>
            </c:numLit>
          </c:val>
        </c:ser>
        <c:axId val="81345536"/>
        <c:axId val="103994112"/>
      </c:barChart>
      <c:catAx>
        <c:axId val="81345536"/>
        <c:scaling>
          <c:orientation val="minMax"/>
        </c:scaling>
        <c:axPos val="b"/>
        <c:numFmt formatCode="General" sourceLinked="1"/>
        <c:tickLblPos val="nextTo"/>
        <c:spPr>
          <a:ln w="3175">
            <a:solidFill>
              <a:srgbClr val="000000"/>
            </a:solidFill>
            <a:prstDash val="solid"/>
          </a:ln>
        </c:spPr>
        <c:txPr>
          <a:bodyPr rot="-5400000" vert="horz"/>
          <a:lstStyle/>
          <a:p>
            <a:pPr>
              <a:defRPr sz="825" b="0" i="0" u="none" strike="noStrike" baseline="0">
                <a:solidFill>
                  <a:srgbClr val="000000"/>
                </a:solidFill>
                <a:latin typeface="Arial"/>
                <a:ea typeface="Arial"/>
                <a:cs typeface="Arial"/>
              </a:defRPr>
            </a:pPr>
            <a:endParaRPr lang="fr-FR"/>
          </a:p>
        </c:txPr>
        <c:crossAx val="103994112"/>
        <c:crosses val="autoZero"/>
        <c:auto val="1"/>
        <c:lblAlgn val="ctr"/>
        <c:lblOffset val="100"/>
        <c:tickLblSkip val="1"/>
        <c:tickMarkSkip val="1"/>
      </c:catAx>
      <c:valAx>
        <c:axId val="103994112"/>
        <c:scaling>
          <c:orientation val="minMax"/>
          <c:max val="1"/>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fr-FR"/>
          </a:p>
        </c:txPr>
        <c:crossAx val="81345536"/>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fr-FR"/>
    </a:p>
  </c:txPr>
  <c:printSettings>
    <c:headerFooter alignWithMargins="0"/>
    <c:pageMargins b="0.98425196899999989" l="0.78740157499999996" r="0.78740157499999996" t="0.98425196899999989" header="0.49212598450000006" footer="0.49212598450000006"/>
    <c:pageSetup orientation="portrait"/>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95250</xdr:colOff>
      <xdr:row>3</xdr:row>
      <xdr:rowOff>152400</xdr:rowOff>
    </xdr:from>
    <xdr:to>
      <xdr:col>9</xdr:col>
      <xdr:colOff>723900</xdr:colOff>
      <xdr:row>31</xdr:row>
      <xdr:rowOff>152400</xdr:rowOff>
    </xdr:to>
    <xdr:sp macro="" textlink="">
      <xdr:nvSpPr>
        <xdr:cNvPr id="1072" name="Rectangle 34"/>
        <xdr:cNvSpPr>
          <a:spLocks noChangeArrowheads="1"/>
        </xdr:cNvSpPr>
      </xdr:nvSpPr>
      <xdr:spPr bwMode="auto">
        <a:xfrm>
          <a:off x="12763500" y="647700"/>
          <a:ext cx="628650" cy="4657725"/>
        </a:xfrm>
        <a:prstGeom prst="rect">
          <a:avLst/>
        </a:prstGeom>
        <a:solidFill>
          <a:srgbClr val="FF99CC"/>
        </a:solidFill>
        <a:ln w="9525">
          <a:noFill/>
          <a:miter lim="800000"/>
          <a:headEnd/>
          <a:tailEnd/>
        </a:ln>
      </xdr:spPr>
    </xdr:sp>
    <xdr:clientData/>
  </xdr:twoCellAnchor>
  <xdr:twoCellAnchor>
    <xdr:from>
      <xdr:col>9</xdr:col>
      <xdr:colOff>714375</xdr:colOff>
      <xdr:row>3</xdr:row>
      <xdr:rowOff>152400</xdr:rowOff>
    </xdr:from>
    <xdr:to>
      <xdr:col>9</xdr:col>
      <xdr:colOff>1400175</xdr:colOff>
      <xdr:row>32</xdr:row>
      <xdr:rowOff>0</xdr:rowOff>
    </xdr:to>
    <xdr:sp macro="" textlink="">
      <xdr:nvSpPr>
        <xdr:cNvPr id="1073" name="Rectangle 35"/>
        <xdr:cNvSpPr>
          <a:spLocks noChangeArrowheads="1"/>
        </xdr:cNvSpPr>
      </xdr:nvSpPr>
      <xdr:spPr bwMode="auto">
        <a:xfrm>
          <a:off x="13382625" y="647700"/>
          <a:ext cx="685800" cy="4676775"/>
        </a:xfrm>
        <a:prstGeom prst="rect">
          <a:avLst/>
        </a:prstGeom>
        <a:solidFill>
          <a:srgbClr val="00FF00"/>
        </a:solidFill>
        <a:ln w="9525">
          <a:noFill/>
          <a:miter lim="800000"/>
          <a:headEnd/>
          <a:tailEnd/>
        </a:ln>
      </xdr:spPr>
    </xdr:sp>
    <xdr:clientData/>
  </xdr:twoCellAnchor>
  <xdr:twoCellAnchor>
    <xdr:from>
      <xdr:col>9</xdr:col>
      <xdr:colOff>0</xdr:colOff>
      <xdr:row>3</xdr:row>
      <xdr:rowOff>104775</xdr:rowOff>
    </xdr:from>
    <xdr:to>
      <xdr:col>10</xdr:col>
      <xdr:colOff>28575</xdr:colOff>
      <xdr:row>11</xdr:row>
      <xdr:rowOff>57150</xdr:rowOff>
    </xdr:to>
    <xdr:graphicFrame macro="">
      <xdr:nvGraphicFramePr>
        <xdr:cNvPr id="1074"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10</xdr:row>
      <xdr:rowOff>114300</xdr:rowOff>
    </xdr:from>
    <xdr:to>
      <xdr:col>10</xdr:col>
      <xdr:colOff>9525</xdr:colOff>
      <xdr:row>23</xdr:row>
      <xdr:rowOff>0</xdr:rowOff>
    </xdr:to>
    <xdr:graphicFrame macro="">
      <xdr:nvGraphicFramePr>
        <xdr:cNvPr id="1075"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23</xdr:row>
      <xdr:rowOff>123825</xdr:rowOff>
    </xdr:from>
    <xdr:to>
      <xdr:col>10</xdr:col>
      <xdr:colOff>9525</xdr:colOff>
      <xdr:row>32</xdr:row>
      <xdr:rowOff>38100</xdr:rowOff>
    </xdr:to>
    <xdr:graphicFrame macro="">
      <xdr:nvGraphicFramePr>
        <xdr:cNvPr id="1076"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23</xdr:row>
      <xdr:rowOff>0</xdr:rowOff>
    </xdr:from>
    <xdr:to>
      <xdr:col>10</xdr:col>
      <xdr:colOff>9525</xdr:colOff>
      <xdr:row>23</xdr:row>
      <xdr:rowOff>38100</xdr:rowOff>
    </xdr:to>
    <xdr:graphicFrame macro="">
      <xdr:nvGraphicFramePr>
        <xdr:cNvPr id="1077"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4048125</xdr:colOff>
      <xdr:row>0</xdr:row>
      <xdr:rowOff>0</xdr:rowOff>
    </xdr:from>
    <xdr:to>
      <xdr:col>20</xdr:col>
      <xdr:colOff>266700</xdr:colOff>
      <xdr:row>0</xdr:row>
      <xdr:rowOff>0</xdr:rowOff>
    </xdr:to>
    <xdr:graphicFrame macro="">
      <xdr:nvGraphicFramePr>
        <xdr:cNvPr id="1078"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723900</xdr:colOff>
      <xdr:row>4</xdr:row>
      <xdr:rowOff>0</xdr:rowOff>
    </xdr:from>
    <xdr:to>
      <xdr:col>9</xdr:col>
      <xdr:colOff>723900</xdr:colOff>
      <xdr:row>32</xdr:row>
      <xdr:rowOff>19050</xdr:rowOff>
    </xdr:to>
    <xdr:sp macro="" textlink="">
      <xdr:nvSpPr>
        <xdr:cNvPr id="1079" name="Line 33"/>
        <xdr:cNvSpPr>
          <a:spLocks noChangeShapeType="1"/>
        </xdr:cNvSpPr>
      </xdr:nvSpPr>
      <xdr:spPr bwMode="auto">
        <a:xfrm flipV="1">
          <a:off x="13392150" y="657225"/>
          <a:ext cx="0" cy="4686300"/>
        </a:xfrm>
        <a:prstGeom prst="line">
          <a:avLst/>
        </a:prstGeom>
        <a:noFill/>
        <a:ln w="19050">
          <a:solidFill>
            <a:srgbClr val="FF0000"/>
          </a:solidFill>
          <a:prstDash val="dash"/>
          <a:round/>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pageSetUpPr fitToPage="1"/>
  </sheetPr>
  <dimension ref="A1:I40"/>
  <sheetViews>
    <sheetView workbookViewId="0">
      <selection activeCell="F12" sqref="F12"/>
    </sheetView>
  </sheetViews>
  <sheetFormatPr baseColWidth="10" defaultRowHeight="12.75"/>
  <cols>
    <col min="1" max="1" width="18.85546875" style="30" bestFit="1" customWidth="1"/>
    <col min="2" max="2" width="110.28515625" style="30" customWidth="1"/>
    <col min="3" max="3" width="4.42578125" style="30" customWidth="1"/>
    <col min="4" max="16384" width="11.42578125" style="30"/>
  </cols>
  <sheetData>
    <row r="1" spans="1:3" ht="13.5" thickTop="1">
      <c r="A1" s="109" t="s">
        <v>7</v>
      </c>
      <c r="B1" s="110"/>
    </row>
    <row r="2" spans="1:3" ht="12.75" customHeight="1">
      <c r="A2" s="33" t="s">
        <v>2</v>
      </c>
      <c r="B2" s="34" t="s">
        <v>32</v>
      </c>
    </row>
    <row r="3" spans="1:3">
      <c r="A3" s="36" t="s">
        <v>1</v>
      </c>
      <c r="B3" s="79" t="s">
        <v>30</v>
      </c>
    </row>
    <row r="4" spans="1:3">
      <c r="A4" s="36" t="s">
        <v>25</v>
      </c>
      <c r="B4" s="42">
        <v>2</v>
      </c>
    </row>
    <row r="5" spans="1:3">
      <c r="A5" s="36" t="s">
        <v>0</v>
      </c>
      <c r="B5" s="37"/>
    </row>
    <row r="6" spans="1:3">
      <c r="A6" s="36" t="s">
        <v>6</v>
      </c>
      <c r="B6" s="37"/>
    </row>
    <row r="7" spans="1:3">
      <c r="A7" s="36" t="s">
        <v>3</v>
      </c>
      <c r="B7" s="38"/>
    </row>
    <row r="8" spans="1:3">
      <c r="A8" s="36" t="s">
        <v>4</v>
      </c>
      <c r="B8" s="38"/>
    </row>
    <row r="9" spans="1:3">
      <c r="A9" s="36" t="s">
        <v>5</v>
      </c>
      <c r="B9" s="39"/>
    </row>
    <row r="10" spans="1:3" ht="13.5" thickBot="1">
      <c r="A10" s="40" t="s">
        <v>21</v>
      </c>
      <c r="B10" s="41"/>
    </row>
    <row r="11" spans="1:3">
      <c r="A11" s="106" t="s">
        <v>28</v>
      </c>
      <c r="B11" s="108"/>
    </row>
    <row r="12" spans="1:3" ht="87.75" customHeight="1" thickBot="1">
      <c r="A12" s="111"/>
      <c r="B12" s="112"/>
    </row>
    <row r="13" spans="1:3">
      <c r="A13" s="106" t="s">
        <v>27</v>
      </c>
      <c r="B13" s="108"/>
      <c r="C13" s="31"/>
    </row>
    <row r="14" spans="1:3">
      <c r="A14" s="113"/>
      <c r="B14" s="114"/>
      <c r="C14" s="31"/>
    </row>
    <row r="15" spans="1:3">
      <c r="A15" s="113"/>
      <c r="B15" s="114"/>
      <c r="C15" s="31"/>
    </row>
    <row r="16" spans="1:3">
      <c r="A16" s="113"/>
      <c r="B16" s="114"/>
      <c r="C16" s="31"/>
    </row>
    <row r="17" spans="1:9">
      <c r="A17" s="113"/>
      <c r="B17" s="114"/>
      <c r="C17" s="31"/>
    </row>
    <row r="18" spans="1:9">
      <c r="A18" s="113"/>
      <c r="B18" s="114"/>
      <c r="C18" s="31"/>
    </row>
    <row r="19" spans="1:9">
      <c r="A19" s="113"/>
      <c r="B19" s="114"/>
      <c r="C19" s="31"/>
    </row>
    <row r="20" spans="1:9">
      <c r="A20" s="113"/>
      <c r="B20" s="114"/>
      <c r="C20" s="31"/>
    </row>
    <row r="21" spans="1:9" ht="13.5" thickBot="1">
      <c r="A21" s="115"/>
      <c r="B21" s="116"/>
      <c r="C21" s="31"/>
    </row>
    <row r="22" spans="1:9" s="32" customFormat="1">
      <c r="A22" s="106" t="s">
        <v>23</v>
      </c>
      <c r="B22" s="108"/>
      <c r="C22" s="31"/>
      <c r="D22" s="31"/>
      <c r="E22" s="31"/>
      <c r="F22" s="31"/>
      <c r="G22" s="31"/>
      <c r="H22" s="31"/>
      <c r="I22" s="31"/>
    </row>
    <row r="23" spans="1:9" s="32" customFormat="1">
      <c r="A23" s="102"/>
      <c r="B23" s="103"/>
      <c r="C23" s="31"/>
      <c r="D23" s="31"/>
      <c r="E23" s="31"/>
      <c r="F23" s="31"/>
      <c r="G23" s="31"/>
      <c r="H23" s="31"/>
      <c r="I23" s="31"/>
    </row>
    <row r="24" spans="1:9" s="32" customFormat="1">
      <c r="A24" s="102"/>
      <c r="B24" s="103"/>
      <c r="C24" s="31"/>
      <c r="D24" s="31"/>
      <c r="E24" s="31"/>
      <c r="F24" s="31"/>
      <c r="G24" s="31"/>
      <c r="H24" s="31"/>
      <c r="I24" s="31"/>
    </row>
    <row r="25" spans="1:9" s="32" customFormat="1">
      <c r="A25" s="102"/>
      <c r="B25" s="103"/>
      <c r="C25" s="31"/>
      <c r="D25" s="31"/>
      <c r="E25" s="31"/>
      <c r="F25" s="31"/>
      <c r="G25" s="31"/>
      <c r="H25" s="31"/>
      <c r="I25" s="31"/>
    </row>
    <row r="26" spans="1:9" s="32" customFormat="1">
      <c r="A26" s="102"/>
      <c r="B26" s="103"/>
      <c r="C26" s="31"/>
      <c r="D26" s="31"/>
      <c r="E26" s="31"/>
      <c r="F26" s="31"/>
      <c r="G26" s="31"/>
      <c r="H26" s="31"/>
      <c r="I26" s="31"/>
    </row>
    <row r="27" spans="1:9" s="32" customFormat="1">
      <c r="A27" s="102"/>
      <c r="B27" s="103"/>
      <c r="D27" s="31"/>
      <c r="E27" s="31"/>
      <c r="F27" s="31"/>
      <c r="G27" s="31"/>
      <c r="H27" s="31"/>
      <c r="I27" s="31"/>
    </row>
    <row r="28" spans="1:9" s="32" customFormat="1">
      <c r="A28" s="102"/>
      <c r="B28" s="103"/>
      <c r="D28" s="31"/>
      <c r="E28" s="31"/>
      <c r="F28" s="31"/>
      <c r="G28" s="31"/>
      <c r="H28" s="31"/>
      <c r="I28" s="31"/>
    </row>
    <row r="29" spans="1:9" s="32" customFormat="1">
      <c r="A29" s="102"/>
      <c r="B29" s="103"/>
      <c r="D29" s="31"/>
      <c r="E29" s="31"/>
      <c r="F29" s="31"/>
      <c r="G29" s="31"/>
      <c r="H29" s="31"/>
      <c r="I29" s="31"/>
    </row>
    <row r="30" spans="1:9" s="32" customFormat="1" ht="13.5" thickBot="1">
      <c r="A30" s="117"/>
      <c r="B30" s="118"/>
      <c r="D30" s="31"/>
      <c r="E30" s="31"/>
      <c r="F30" s="31"/>
      <c r="G30" s="31"/>
      <c r="H30" s="31"/>
      <c r="I30" s="31"/>
    </row>
    <row r="31" spans="1:9" s="32" customFormat="1">
      <c r="A31" s="106" t="s">
        <v>22</v>
      </c>
      <c r="B31" s="107"/>
      <c r="D31" s="31"/>
      <c r="E31" s="31"/>
      <c r="F31" s="31"/>
      <c r="G31" s="31"/>
      <c r="H31" s="31"/>
      <c r="I31" s="31"/>
    </row>
    <row r="32" spans="1:9" s="32" customFormat="1">
      <c r="A32" s="102"/>
      <c r="B32" s="103"/>
      <c r="D32" s="31"/>
      <c r="E32" s="31"/>
      <c r="F32" s="31"/>
      <c r="G32" s="31"/>
      <c r="H32" s="31"/>
      <c r="I32" s="31"/>
    </row>
    <row r="33" spans="1:9" s="32" customFormat="1">
      <c r="A33" s="102"/>
      <c r="B33" s="103"/>
      <c r="D33" s="31"/>
      <c r="E33" s="31"/>
      <c r="F33" s="31"/>
      <c r="G33" s="31"/>
      <c r="H33" s="31"/>
      <c r="I33" s="31"/>
    </row>
    <row r="34" spans="1:9" s="32" customFormat="1">
      <c r="A34" s="102"/>
      <c r="B34" s="103"/>
      <c r="D34" s="31"/>
      <c r="E34" s="31"/>
      <c r="F34" s="31"/>
      <c r="G34" s="31"/>
      <c r="H34" s="31"/>
      <c r="I34" s="31"/>
    </row>
    <row r="35" spans="1:9" s="32" customFormat="1">
      <c r="A35" s="102"/>
      <c r="B35" s="103"/>
      <c r="D35" s="31"/>
      <c r="E35" s="31"/>
      <c r="F35" s="31"/>
      <c r="G35" s="31"/>
      <c r="H35" s="31"/>
      <c r="I35" s="31"/>
    </row>
    <row r="36" spans="1:9" s="32" customFormat="1">
      <c r="A36" s="102"/>
      <c r="B36" s="103"/>
      <c r="D36" s="31"/>
      <c r="E36" s="31"/>
      <c r="F36" s="31"/>
      <c r="G36" s="31"/>
      <c r="H36" s="31"/>
      <c r="I36" s="31"/>
    </row>
    <row r="37" spans="1:9" s="32" customFormat="1">
      <c r="A37" s="102"/>
      <c r="B37" s="103"/>
      <c r="D37" s="31"/>
      <c r="E37" s="31"/>
      <c r="F37" s="31"/>
      <c r="G37" s="31"/>
      <c r="H37" s="31"/>
      <c r="I37" s="31"/>
    </row>
    <row r="38" spans="1:9" s="32" customFormat="1">
      <c r="A38" s="102"/>
      <c r="B38" s="103"/>
      <c r="D38" s="31"/>
      <c r="E38" s="31"/>
      <c r="F38" s="31"/>
      <c r="G38" s="31"/>
      <c r="H38" s="31"/>
      <c r="I38" s="31"/>
    </row>
    <row r="39" spans="1:9" s="32" customFormat="1" ht="13.5" thickBot="1">
      <c r="A39" s="104"/>
      <c r="B39" s="105"/>
      <c r="D39" s="31"/>
      <c r="E39" s="31"/>
      <c r="F39" s="31"/>
      <c r="G39" s="31"/>
      <c r="H39" s="31"/>
      <c r="I39" s="31"/>
    </row>
    <row r="40" spans="1:9" ht="13.5" thickTop="1"/>
  </sheetData>
  <sheetProtection password="F2EA" sheet="1" objects="1" scenarios="1"/>
  <mergeCells count="9">
    <mergeCell ref="A32:B39"/>
    <mergeCell ref="A31:B31"/>
    <mergeCell ref="A13:B13"/>
    <mergeCell ref="A1:B1"/>
    <mergeCell ref="A22:B22"/>
    <mergeCell ref="A11:B11"/>
    <mergeCell ref="A12:B12"/>
    <mergeCell ref="A14:B21"/>
    <mergeCell ref="A23:B30"/>
  </mergeCells>
  <phoneticPr fontId="7" type="noConversion"/>
  <printOptions horizontalCentered="1" verticalCentered="1"/>
  <pageMargins left="0.74" right="0.54" top="0.71" bottom="0.68" header="0.51181102362204722" footer="0.51181102362204722"/>
  <pageSetup paperSize="9" scale="85" orientation="landscape" horizontalDpi="4294967293" r:id="rId1"/>
  <headerFooter alignWithMargins="0">
    <oddFooter>Page &amp;P</oddFooter>
  </headerFooter>
</worksheet>
</file>

<file path=xl/worksheets/sheet2.xml><?xml version="1.0" encoding="utf-8"?>
<worksheet xmlns="http://schemas.openxmlformats.org/spreadsheetml/2006/main" xmlns:r="http://schemas.openxmlformats.org/officeDocument/2006/relationships">
  <sheetPr>
    <pageSetUpPr fitToPage="1"/>
  </sheetPr>
  <dimension ref="A1:AC49"/>
  <sheetViews>
    <sheetView tabSelected="1" topLeftCell="A16" zoomScale="82" workbookViewId="0">
      <selection activeCell="L1" sqref="L1:T65536"/>
    </sheetView>
  </sheetViews>
  <sheetFormatPr baseColWidth="10" defaultRowHeight="12.75"/>
  <cols>
    <col min="1" max="1" width="19.140625" style="17" customWidth="1"/>
    <col min="2" max="2" width="56.7109375" style="2" customWidth="1"/>
    <col min="3" max="3" width="91.7109375" style="1" customWidth="1"/>
    <col min="4" max="4" width="5" style="19" customWidth="1"/>
    <col min="5" max="8" width="3.7109375" style="6" customWidth="1"/>
    <col min="9" max="9" width="2.5703125" style="91" customWidth="1"/>
    <col min="10" max="10" width="21.140625" style="9" customWidth="1"/>
    <col min="11" max="11" width="4.85546875" style="58" customWidth="1"/>
    <col min="12" max="12" width="5.5703125" style="63" bestFit="1" customWidth="1"/>
    <col min="13" max="13" width="10.7109375" style="64" bestFit="1" customWidth="1"/>
    <col min="14" max="14" width="2.140625" style="65" bestFit="1" customWidth="1"/>
    <col min="15" max="15" width="9" style="66" bestFit="1" customWidth="1"/>
    <col min="16" max="16" width="8.5703125" style="66" bestFit="1" customWidth="1"/>
    <col min="17" max="17" width="2.28515625" style="99" bestFit="1" customWidth="1"/>
    <col min="18" max="18" width="6" style="99" bestFit="1" customWidth="1"/>
    <col min="19" max="19" width="2.28515625" style="65" bestFit="1" customWidth="1"/>
    <col min="20" max="29" width="11.42578125" style="65"/>
    <col min="30" max="16384" width="11.42578125" style="1"/>
  </cols>
  <sheetData>
    <row r="1" spans="1:20">
      <c r="A1" s="17" t="str">
        <f>Identification!B2</f>
        <v>Baccalauréat Scientifique "Sciences de l'Ingénieur" (S-SI)</v>
      </c>
      <c r="C1" s="88" t="str">
        <f>Identification!B3</f>
        <v>Soutenance Projet</v>
      </c>
      <c r="D1" s="3"/>
      <c r="E1" s="60"/>
      <c r="F1" s="62"/>
      <c r="I1" s="90"/>
    </row>
    <row r="2" spans="1:20">
      <c r="A2" s="1"/>
      <c r="B2" s="1"/>
      <c r="C2" s="43">
        <f>Identification!B7</f>
        <v>0</v>
      </c>
      <c r="D2" s="120">
        <f>Identification!B8</f>
        <v>0</v>
      </c>
      <c r="E2" s="120"/>
      <c r="F2" s="120"/>
      <c r="G2" s="120"/>
      <c r="H2" s="120"/>
      <c r="K2" s="43" t="s">
        <v>13</v>
      </c>
    </row>
    <row r="3" spans="1:20" ht="13.5" thickBot="1">
      <c r="A3" s="121" t="s">
        <v>9</v>
      </c>
      <c r="B3" s="121"/>
      <c r="C3" s="24" t="s">
        <v>29</v>
      </c>
      <c r="D3" s="87" t="s">
        <v>17</v>
      </c>
      <c r="E3" s="61">
        <v>0</v>
      </c>
      <c r="F3" s="61">
        <v>1</v>
      </c>
      <c r="G3" s="61">
        <v>2</v>
      </c>
      <c r="H3" s="61">
        <v>3</v>
      </c>
      <c r="K3" s="81" t="s">
        <v>12</v>
      </c>
      <c r="M3" s="64" t="s">
        <v>14</v>
      </c>
    </row>
    <row r="4" spans="1:20">
      <c r="A4" s="124" t="s">
        <v>33</v>
      </c>
      <c r="B4" s="125"/>
      <c r="C4" s="125"/>
      <c r="D4" s="125"/>
      <c r="E4" s="125"/>
      <c r="F4" s="125"/>
      <c r="G4" s="125"/>
      <c r="H4" s="126"/>
      <c r="K4" s="59">
        <v>0.4</v>
      </c>
      <c r="M4" s="67">
        <f>IF(N4=1,SUMPRODUCT(M5:M10,N5:N10)/SUMPRODUCT(K5:K10,N5:N10),0)</f>
        <v>0</v>
      </c>
      <c r="N4" s="65">
        <f>IF(SUM(N5:N10)=0,0,1)</f>
        <v>0</v>
      </c>
      <c r="P4" s="66">
        <f>SUM(P5:P10)</f>
        <v>1</v>
      </c>
    </row>
    <row r="5" spans="1:20">
      <c r="A5" s="137" t="s">
        <v>35</v>
      </c>
      <c r="B5" s="133" t="s">
        <v>34</v>
      </c>
      <c r="C5" s="73" t="s">
        <v>41</v>
      </c>
      <c r="D5" s="83"/>
      <c r="E5" s="84"/>
      <c r="F5" s="84"/>
      <c r="G5" s="84"/>
      <c r="H5" s="85"/>
      <c r="I5" s="91" t="str">
        <f t="shared" ref="I5:I32" si="0">IF(N5&gt;1,"◄",(IF(S5&gt;0,"◄","")))</f>
        <v/>
      </c>
      <c r="J5" s="10"/>
      <c r="K5" s="58">
        <v>0.2</v>
      </c>
      <c r="M5" s="64">
        <f t="shared" ref="M5:M10" si="1">IF(H5&lt;&gt;"",1,IF(G5&lt;&gt;"",2/3,IF(F5&lt;&gt;"",1/3,0)))*K5*20</f>
        <v>0</v>
      </c>
      <c r="N5" s="65">
        <f t="shared" ref="N5:N10" si="2">IF(D5="",IF(E5&lt;&gt;"",1,0)+IF(F5&lt;&gt;"",1,0)+IF(G5&lt;&gt;"",1,0)+IF(H5&lt;&gt;"",1,0),0)</f>
        <v>0</v>
      </c>
      <c r="O5" s="66">
        <f t="shared" ref="O5:O10" si="3">IF(D5&lt;&gt;"",0,IF(E5="",(M5/(K5*20)),0.02+(M5/(K5*20))))</f>
        <v>0</v>
      </c>
      <c r="P5" s="66">
        <f t="shared" ref="P5:P10" si="4">IF(D5&lt;&gt;"",0,K5)</f>
        <v>0.2</v>
      </c>
      <c r="Q5" s="99">
        <f>IF(I5&lt;&gt;"",1,0)</f>
        <v>0</v>
      </c>
      <c r="R5" s="99" t="b">
        <f>IF(D5="",OR(E5&lt;&gt;"",F5&lt;&gt;"",G5&lt;&gt;"",H5&lt;&gt;""),0)</f>
        <v>0</v>
      </c>
      <c r="S5" s="65">
        <f>IF(D5&lt;&gt;"",IF(E5&lt;&gt;"",1,0)+IF(F5&lt;&gt;"",1,0)+IF(G5&lt;&gt;"",1,0)+IF(H5&lt;&gt;"",1,0),0)</f>
        <v>0</v>
      </c>
    </row>
    <row r="6" spans="1:20">
      <c r="A6" s="138"/>
      <c r="B6" s="134"/>
      <c r="C6" s="76" t="s">
        <v>42</v>
      </c>
      <c r="D6" s="35"/>
      <c r="E6" s="13"/>
      <c r="F6" s="13"/>
      <c r="G6" s="13"/>
      <c r="H6" s="14"/>
      <c r="I6" s="91" t="str">
        <f t="shared" si="0"/>
        <v/>
      </c>
      <c r="J6" s="10"/>
      <c r="K6" s="58">
        <v>0.2</v>
      </c>
      <c r="M6" s="64">
        <f t="shared" si="1"/>
        <v>0</v>
      </c>
      <c r="N6" s="65">
        <f t="shared" si="2"/>
        <v>0</v>
      </c>
      <c r="O6" s="66">
        <f t="shared" si="3"/>
        <v>0</v>
      </c>
      <c r="P6" s="66">
        <f t="shared" si="4"/>
        <v>0.2</v>
      </c>
      <c r="Q6" s="99">
        <f t="shared" ref="Q6:Q32" si="5">IF(I6&lt;&gt;"",1,0)</f>
        <v>0</v>
      </c>
      <c r="R6" s="99" t="b">
        <f t="shared" ref="R6:R32" si="6">IF(D6="",OR(E6&lt;&gt;"",F6&lt;&gt;"",G6&lt;&gt;"",H6&lt;&gt;""),0)</f>
        <v>0</v>
      </c>
      <c r="S6" s="65">
        <f t="shared" ref="S6:S32" si="7">IF(D6&lt;&gt;"",IF(E6&lt;&gt;"",1,0)+IF(F6&lt;&gt;"",1,0)+IF(G6&lt;&gt;"",1,0)+IF(H6&lt;&gt;"",1,0),0)</f>
        <v>0</v>
      </c>
    </row>
    <row r="7" spans="1:20">
      <c r="A7" s="139" t="s">
        <v>36</v>
      </c>
      <c r="B7" s="140" t="s">
        <v>43</v>
      </c>
      <c r="C7" s="80" t="s">
        <v>37</v>
      </c>
      <c r="D7" s="70"/>
      <c r="E7" s="48"/>
      <c r="F7" s="48"/>
      <c r="G7" s="48"/>
      <c r="H7" s="49"/>
      <c r="I7" s="91" t="str">
        <f t="shared" si="0"/>
        <v/>
      </c>
      <c r="J7" s="10"/>
      <c r="K7" s="58">
        <v>0.15</v>
      </c>
      <c r="M7" s="64">
        <f t="shared" si="1"/>
        <v>0</v>
      </c>
      <c r="N7" s="65">
        <f t="shared" si="2"/>
        <v>0</v>
      </c>
      <c r="O7" s="66">
        <f t="shared" si="3"/>
        <v>0</v>
      </c>
      <c r="P7" s="66">
        <f t="shared" si="4"/>
        <v>0.15</v>
      </c>
      <c r="Q7" s="99">
        <f t="shared" si="5"/>
        <v>0</v>
      </c>
      <c r="R7" s="99" t="b">
        <f t="shared" si="6"/>
        <v>0</v>
      </c>
      <c r="S7" s="65">
        <f t="shared" si="7"/>
        <v>0</v>
      </c>
    </row>
    <row r="8" spans="1:20">
      <c r="A8" s="139"/>
      <c r="B8" s="140"/>
      <c r="C8" s="82" t="s">
        <v>38</v>
      </c>
      <c r="D8" s="71"/>
      <c r="E8" s="13"/>
      <c r="F8" s="13"/>
      <c r="G8" s="13"/>
      <c r="H8" s="14"/>
      <c r="I8" s="91" t="str">
        <f t="shared" si="0"/>
        <v/>
      </c>
      <c r="J8" s="10"/>
      <c r="K8" s="58">
        <v>0.15</v>
      </c>
      <c r="M8" s="64">
        <f t="shared" si="1"/>
        <v>0</v>
      </c>
      <c r="N8" s="65">
        <f t="shared" si="2"/>
        <v>0</v>
      </c>
      <c r="O8" s="66">
        <f t="shared" si="3"/>
        <v>0</v>
      </c>
      <c r="P8" s="66">
        <f t="shared" si="4"/>
        <v>0.15</v>
      </c>
      <c r="Q8" s="99">
        <f t="shared" si="5"/>
        <v>0</v>
      </c>
      <c r="R8" s="99" t="b">
        <f t="shared" si="6"/>
        <v>0</v>
      </c>
      <c r="S8" s="65">
        <f t="shared" si="7"/>
        <v>0</v>
      </c>
    </row>
    <row r="9" spans="1:20" ht="13.5" customHeight="1">
      <c r="A9" s="139"/>
      <c r="B9" s="140"/>
      <c r="C9" s="72" t="s">
        <v>40</v>
      </c>
      <c r="D9" s="70"/>
      <c r="E9" s="48"/>
      <c r="F9" s="48"/>
      <c r="G9" s="48"/>
      <c r="H9" s="49"/>
      <c r="I9" s="91" t="str">
        <f t="shared" si="0"/>
        <v/>
      </c>
      <c r="J9" s="10"/>
      <c r="K9" s="58">
        <v>0.15</v>
      </c>
      <c r="M9" s="64">
        <f t="shared" si="1"/>
        <v>0</v>
      </c>
      <c r="N9" s="65">
        <f t="shared" si="2"/>
        <v>0</v>
      </c>
      <c r="O9" s="66">
        <f t="shared" si="3"/>
        <v>0</v>
      </c>
      <c r="P9" s="66">
        <f t="shared" si="4"/>
        <v>0.15</v>
      </c>
      <c r="Q9" s="99">
        <f t="shared" si="5"/>
        <v>0</v>
      </c>
      <c r="R9" s="99" t="b">
        <f t="shared" si="6"/>
        <v>0</v>
      </c>
      <c r="S9" s="65">
        <f t="shared" si="7"/>
        <v>0</v>
      </c>
    </row>
    <row r="10" spans="1:20" ht="13.5" thickBot="1">
      <c r="A10" s="139"/>
      <c r="B10" s="140"/>
      <c r="C10" s="76" t="s">
        <v>39</v>
      </c>
      <c r="D10" s="71"/>
      <c r="E10" s="13"/>
      <c r="F10" s="13"/>
      <c r="G10" s="13"/>
      <c r="H10" s="14"/>
      <c r="I10" s="91" t="str">
        <f t="shared" si="0"/>
        <v/>
      </c>
      <c r="J10" s="10"/>
      <c r="K10" s="58">
        <v>0.15</v>
      </c>
      <c r="L10" s="68">
        <f>SUM(K5:K10)</f>
        <v>1</v>
      </c>
      <c r="M10" s="64">
        <f t="shared" si="1"/>
        <v>0</v>
      </c>
      <c r="N10" s="65">
        <f t="shared" si="2"/>
        <v>0</v>
      </c>
      <c r="O10" s="66">
        <f t="shared" si="3"/>
        <v>0</v>
      </c>
      <c r="P10" s="66">
        <f t="shared" si="4"/>
        <v>0.15</v>
      </c>
      <c r="Q10" s="99">
        <f t="shared" si="5"/>
        <v>0</v>
      </c>
      <c r="R10" s="99" t="b">
        <f t="shared" si="6"/>
        <v>0</v>
      </c>
      <c r="S10" s="65">
        <f t="shared" si="7"/>
        <v>0</v>
      </c>
    </row>
    <row r="11" spans="1:20" ht="13.5" customHeight="1">
      <c r="A11" s="127" t="s">
        <v>44</v>
      </c>
      <c r="B11" s="128"/>
      <c r="C11" s="128"/>
      <c r="D11" s="128"/>
      <c r="E11" s="128"/>
      <c r="F11" s="128"/>
      <c r="G11" s="128"/>
      <c r="H11" s="129"/>
      <c r="J11" s="11"/>
      <c r="K11" s="59">
        <v>0.4</v>
      </c>
      <c r="M11" s="67">
        <f>IF(N11=1,SUMPRODUCT(M12:M23,N12:N23)/SUMPRODUCT(K12:K23,N12:N23),0)</f>
        <v>0</v>
      </c>
      <c r="N11" s="65">
        <f>IF(SUM(N12:N23)=0,0,1)</f>
        <v>0</v>
      </c>
      <c r="P11" s="66">
        <f>SUM(P12:P23)</f>
        <v>0.99999999999999989</v>
      </c>
      <c r="R11" s="99" t="b">
        <f>OR(R5=FALSE,R6=FALSE,R7=FALSE,R8=FALSE,R9=FALSE,R10=FALSE)</f>
        <v>1</v>
      </c>
      <c r="S11" s="65">
        <f t="shared" si="7"/>
        <v>0</v>
      </c>
    </row>
    <row r="12" spans="1:20" ht="13.5" customHeight="1">
      <c r="A12" s="137" t="s">
        <v>51</v>
      </c>
      <c r="B12" s="135" t="s">
        <v>45</v>
      </c>
      <c r="C12" s="74" t="s">
        <v>46</v>
      </c>
      <c r="D12" s="51"/>
      <c r="E12" s="52"/>
      <c r="F12" s="52"/>
      <c r="G12" s="53"/>
      <c r="H12" s="54"/>
      <c r="I12" s="91" t="str">
        <f t="shared" si="0"/>
        <v/>
      </c>
      <c r="J12" s="10"/>
      <c r="K12" s="58">
        <v>0.08</v>
      </c>
      <c r="M12" s="64">
        <f t="shared" ref="M12:M23" si="8">IF(H12&lt;&gt;"",1,IF(G12&lt;&gt;"",2/3,IF(F12&lt;&gt;"",1/3,0)))*K12*20</f>
        <v>0</v>
      </c>
      <c r="N12" s="65">
        <f t="shared" ref="N12:N23" si="9">IF(D12="",IF(E12&lt;&gt;"",1,0)+IF(F12&lt;&gt;"",1,0)+IF(G12&lt;&gt;"",1,0)+IF(H12&lt;&gt;"",1,0),0)</f>
        <v>0</v>
      </c>
      <c r="O12" s="66">
        <f t="shared" ref="O12:O23" si="10">IF(D12&lt;&gt;"",0,IF(E12="",(M12/(K12*20)),0.02+(M12/(K12*20))))</f>
        <v>0</v>
      </c>
      <c r="P12" s="66">
        <f t="shared" ref="P12:P23" si="11">IF(D12&lt;&gt;"",0,K12)</f>
        <v>0.08</v>
      </c>
      <c r="Q12" s="99">
        <f t="shared" si="5"/>
        <v>0</v>
      </c>
      <c r="R12" s="99" t="b">
        <f t="shared" si="6"/>
        <v>0</v>
      </c>
      <c r="S12" s="65">
        <f t="shared" si="7"/>
        <v>0</v>
      </c>
      <c r="T12" s="101"/>
    </row>
    <row r="13" spans="1:20" ht="13.5" customHeight="1">
      <c r="A13" s="139"/>
      <c r="B13" s="136"/>
      <c r="C13" s="75" t="s">
        <v>47</v>
      </c>
      <c r="D13" s="45"/>
      <c r="E13" s="25"/>
      <c r="F13" s="25"/>
      <c r="G13" s="26"/>
      <c r="H13" s="44"/>
      <c r="I13" s="91" t="str">
        <f t="shared" si="0"/>
        <v/>
      </c>
      <c r="J13" s="10"/>
      <c r="K13" s="58">
        <v>0.08</v>
      </c>
      <c r="M13" s="64">
        <f t="shared" si="8"/>
        <v>0</v>
      </c>
      <c r="N13" s="65">
        <f t="shared" si="9"/>
        <v>0</v>
      </c>
      <c r="O13" s="66">
        <f t="shared" si="10"/>
        <v>0</v>
      </c>
      <c r="P13" s="66">
        <f t="shared" si="11"/>
        <v>0.08</v>
      </c>
      <c r="Q13" s="99">
        <f t="shared" si="5"/>
        <v>0</v>
      </c>
      <c r="R13" s="99" t="b">
        <f t="shared" si="6"/>
        <v>0</v>
      </c>
      <c r="S13" s="65">
        <f t="shared" si="7"/>
        <v>0</v>
      </c>
    </row>
    <row r="14" spans="1:20" ht="13.5" customHeight="1">
      <c r="A14" s="139"/>
      <c r="B14" s="136"/>
      <c r="C14" s="74" t="s">
        <v>48</v>
      </c>
      <c r="D14" s="51"/>
      <c r="E14" s="52"/>
      <c r="F14" s="52"/>
      <c r="G14" s="53"/>
      <c r="H14" s="55"/>
      <c r="I14" s="91" t="str">
        <f t="shared" si="0"/>
        <v/>
      </c>
      <c r="J14" s="10"/>
      <c r="K14" s="58">
        <v>7.0000000000000007E-2</v>
      </c>
      <c r="M14" s="64">
        <f t="shared" si="8"/>
        <v>0</v>
      </c>
      <c r="N14" s="65">
        <f t="shared" si="9"/>
        <v>0</v>
      </c>
      <c r="O14" s="66">
        <f t="shared" si="10"/>
        <v>0</v>
      </c>
      <c r="P14" s="66">
        <f t="shared" si="11"/>
        <v>7.0000000000000007E-2</v>
      </c>
      <c r="Q14" s="99">
        <f t="shared" si="5"/>
        <v>0</v>
      </c>
      <c r="R14" s="99" t="b">
        <f t="shared" si="6"/>
        <v>0</v>
      </c>
      <c r="S14" s="65">
        <f t="shared" si="7"/>
        <v>0</v>
      </c>
    </row>
    <row r="15" spans="1:20">
      <c r="A15" s="139"/>
      <c r="B15" s="136"/>
      <c r="C15" s="75" t="s">
        <v>49</v>
      </c>
      <c r="D15" s="45"/>
      <c r="E15" s="25"/>
      <c r="F15" s="25"/>
      <c r="G15" s="26"/>
      <c r="H15" s="44"/>
      <c r="I15" s="91" t="str">
        <f t="shared" si="0"/>
        <v/>
      </c>
      <c r="J15" s="10"/>
      <c r="K15" s="58">
        <v>0.05</v>
      </c>
      <c r="M15" s="64">
        <f t="shared" si="8"/>
        <v>0</v>
      </c>
      <c r="N15" s="65">
        <f t="shared" si="9"/>
        <v>0</v>
      </c>
      <c r="O15" s="66">
        <f t="shared" si="10"/>
        <v>0</v>
      </c>
      <c r="P15" s="66">
        <f t="shared" si="11"/>
        <v>0.05</v>
      </c>
      <c r="Q15" s="99">
        <f t="shared" si="5"/>
        <v>0</v>
      </c>
      <c r="R15" s="99" t="b">
        <f t="shared" si="6"/>
        <v>0</v>
      </c>
      <c r="S15" s="65">
        <f t="shared" si="7"/>
        <v>0</v>
      </c>
    </row>
    <row r="16" spans="1:20">
      <c r="A16" s="139"/>
      <c r="B16" s="136"/>
      <c r="C16" s="74" t="s">
        <v>50</v>
      </c>
      <c r="D16" s="51"/>
      <c r="E16" s="52"/>
      <c r="F16" s="52"/>
      <c r="G16" s="53"/>
      <c r="H16" s="55"/>
      <c r="I16" s="91" t="str">
        <f t="shared" si="0"/>
        <v/>
      </c>
      <c r="J16" s="10"/>
      <c r="K16" s="58">
        <v>0.1</v>
      </c>
      <c r="M16" s="64">
        <f t="shared" si="8"/>
        <v>0</v>
      </c>
      <c r="N16" s="65">
        <f t="shared" si="9"/>
        <v>0</v>
      </c>
      <c r="O16" s="66">
        <f t="shared" si="10"/>
        <v>0</v>
      </c>
      <c r="P16" s="66">
        <f t="shared" si="11"/>
        <v>0.1</v>
      </c>
      <c r="Q16" s="99">
        <f t="shared" si="5"/>
        <v>0</v>
      </c>
      <c r="R16" s="99" t="b">
        <f t="shared" si="6"/>
        <v>0</v>
      </c>
      <c r="S16" s="65">
        <f t="shared" si="7"/>
        <v>0</v>
      </c>
    </row>
    <row r="17" spans="1:19">
      <c r="A17" s="137" t="s">
        <v>52</v>
      </c>
      <c r="B17" s="133" t="s">
        <v>53</v>
      </c>
      <c r="C17" s="76" t="s">
        <v>54</v>
      </c>
      <c r="D17" s="23"/>
      <c r="E17" s="25"/>
      <c r="F17" s="25"/>
      <c r="G17" s="25"/>
      <c r="H17" s="28"/>
      <c r="I17" s="91" t="str">
        <f t="shared" si="0"/>
        <v/>
      </c>
      <c r="J17" s="10"/>
      <c r="K17" s="58">
        <v>0.08</v>
      </c>
      <c r="M17" s="64">
        <f t="shared" si="8"/>
        <v>0</v>
      </c>
      <c r="N17" s="65">
        <f t="shared" si="9"/>
        <v>0</v>
      </c>
      <c r="O17" s="66">
        <f t="shared" si="10"/>
        <v>0</v>
      </c>
      <c r="P17" s="66">
        <f t="shared" si="11"/>
        <v>0.08</v>
      </c>
      <c r="Q17" s="99">
        <f t="shared" si="5"/>
        <v>0</v>
      </c>
      <c r="R17" s="99" t="b">
        <f t="shared" si="6"/>
        <v>0</v>
      </c>
      <c r="S17" s="65">
        <f t="shared" si="7"/>
        <v>0</v>
      </c>
    </row>
    <row r="18" spans="1:19" ht="13.5" customHeight="1">
      <c r="A18" s="139"/>
      <c r="B18" s="140"/>
      <c r="C18" s="73" t="s">
        <v>55</v>
      </c>
      <c r="D18" s="50"/>
      <c r="E18" s="52"/>
      <c r="F18" s="52"/>
      <c r="G18" s="52"/>
      <c r="H18" s="56"/>
      <c r="I18" s="91" t="str">
        <f t="shared" si="0"/>
        <v/>
      </c>
      <c r="J18" s="10"/>
      <c r="K18" s="58">
        <v>0.08</v>
      </c>
      <c r="M18" s="64">
        <f t="shared" si="8"/>
        <v>0</v>
      </c>
      <c r="N18" s="65">
        <f t="shared" si="9"/>
        <v>0</v>
      </c>
      <c r="O18" s="66">
        <f t="shared" si="10"/>
        <v>0</v>
      </c>
      <c r="P18" s="66">
        <f t="shared" si="11"/>
        <v>0.08</v>
      </c>
      <c r="Q18" s="99">
        <f t="shared" si="5"/>
        <v>0</v>
      </c>
      <c r="R18" s="99" t="b">
        <f t="shared" si="6"/>
        <v>0</v>
      </c>
      <c r="S18" s="65">
        <f t="shared" si="7"/>
        <v>0</v>
      </c>
    </row>
    <row r="19" spans="1:19" ht="13.5" customHeight="1">
      <c r="A19" s="139"/>
      <c r="B19" s="140"/>
      <c r="C19" s="76" t="s">
        <v>56</v>
      </c>
      <c r="D19" s="23"/>
      <c r="E19" s="25"/>
      <c r="F19" s="25"/>
      <c r="G19" s="25"/>
      <c r="H19" s="28"/>
      <c r="I19" s="91" t="str">
        <f t="shared" si="0"/>
        <v/>
      </c>
      <c r="J19" s="10"/>
      <c r="K19" s="58">
        <v>0.08</v>
      </c>
      <c r="M19" s="64">
        <f t="shared" si="8"/>
        <v>0</v>
      </c>
      <c r="N19" s="65">
        <f t="shared" si="9"/>
        <v>0</v>
      </c>
      <c r="O19" s="66">
        <f t="shared" si="10"/>
        <v>0</v>
      </c>
      <c r="P19" s="66">
        <f t="shared" si="11"/>
        <v>0.08</v>
      </c>
      <c r="Q19" s="99">
        <f t="shared" si="5"/>
        <v>0</v>
      </c>
      <c r="R19" s="99" t="b">
        <f t="shared" si="6"/>
        <v>0</v>
      </c>
      <c r="S19" s="65">
        <f t="shared" si="7"/>
        <v>0</v>
      </c>
    </row>
    <row r="20" spans="1:19" ht="13.5" customHeight="1">
      <c r="A20" s="139"/>
      <c r="B20" s="140"/>
      <c r="C20" s="73" t="s">
        <v>57</v>
      </c>
      <c r="D20" s="50"/>
      <c r="E20" s="52"/>
      <c r="F20" s="52"/>
      <c r="G20" s="52"/>
      <c r="H20" s="56"/>
      <c r="I20" s="91" t="str">
        <f t="shared" si="0"/>
        <v/>
      </c>
      <c r="J20" s="10"/>
      <c r="K20" s="58">
        <v>0.1</v>
      </c>
      <c r="M20" s="64">
        <f t="shared" si="8"/>
        <v>0</v>
      </c>
      <c r="N20" s="65">
        <f t="shared" si="9"/>
        <v>0</v>
      </c>
      <c r="O20" s="66">
        <f t="shared" si="10"/>
        <v>0</v>
      </c>
      <c r="P20" s="66">
        <f t="shared" si="11"/>
        <v>0.1</v>
      </c>
      <c r="Q20" s="99">
        <f t="shared" si="5"/>
        <v>0</v>
      </c>
      <c r="R20" s="99" t="b">
        <f t="shared" si="6"/>
        <v>0</v>
      </c>
      <c r="S20" s="65">
        <f t="shared" si="7"/>
        <v>0</v>
      </c>
    </row>
    <row r="21" spans="1:19" ht="13.5" customHeight="1">
      <c r="A21" s="139"/>
      <c r="B21" s="140"/>
      <c r="C21" s="76" t="s">
        <v>58</v>
      </c>
      <c r="D21" s="23"/>
      <c r="E21" s="25"/>
      <c r="F21" s="25"/>
      <c r="G21" s="25"/>
      <c r="H21" s="28"/>
      <c r="I21" s="91" t="str">
        <f t="shared" si="0"/>
        <v/>
      </c>
      <c r="J21" s="10"/>
      <c r="K21" s="58">
        <v>0.09</v>
      </c>
      <c r="M21" s="64">
        <f t="shared" si="8"/>
        <v>0</v>
      </c>
      <c r="N21" s="65">
        <f t="shared" si="9"/>
        <v>0</v>
      </c>
      <c r="O21" s="66">
        <f t="shared" si="10"/>
        <v>0</v>
      </c>
      <c r="P21" s="66">
        <f t="shared" si="11"/>
        <v>0.09</v>
      </c>
      <c r="Q21" s="99">
        <f t="shared" si="5"/>
        <v>0</v>
      </c>
      <c r="R21" s="99" t="b">
        <f t="shared" si="6"/>
        <v>0</v>
      </c>
      <c r="S21" s="65">
        <f t="shared" si="7"/>
        <v>0</v>
      </c>
    </row>
    <row r="22" spans="1:19" ht="13.5" customHeight="1">
      <c r="A22" s="139"/>
      <c r="B22" s="140"/>
      <c r="C22" s="86" t="s">
        <v>59</v>
      </c>
      <c r="D22" s="50"/>
      <c r="E22" s="52"/>
      <c r="F22" s="52"/>
      <c r="G22" s="52"/>
      <c r="H22" s="56"/>
      <c r="I22" s="91" t="str">
        <f t="shared" si="0"/>
        <v/>
      </c>
      <c r="J22" s="10"/>
      <c r="K22" s="58">
        <v>0.1</v>
      </c>
      <c r="M22" s="64">
        <f t="shared" si="8"/>
        <v>0</v>
      </c>
      <c r="N22" s="65">
        <f t="shared" si="9"/>
        <v>0</v>
      </c>
      <c r="O22" s="66">
        <f t="shared" si="10"/>
        <v>0</v>
      </c>
      <c r="P22" s="66">
        <f t="shared" si="11"/>
        <v>0.1</v>
      </c>
      <c r="Q22" s="99">
        <f t="shared" si="5"/>
        <v>0</v>
      </c>
      <c r="R22" s="99" t="b">
        <f t="shared" si="6"/>
        <v>0</v>
      </c>
      <c r="S22" s="65">
        <f t="shared" si="7"/>
        <v>0</v>
      </c>
    </row>
    <row r="23" spans="1:19" ht="13.5" customHeight="1" thickBot="1">
      <c r="A23" s="142"/>
      <c r="B23" s="141"/>
      <c r="C23" s="75" t="s">
        <v>60</v>
      </c>
      <c r="D23" s="23"/>
      <c r="E23" s="25"/>
      <c r="F23" s="25"/>
      <c r="G23" s="25"/>
      <c r="H23" s="28"/>
      <c r="I23" s="91" t="str">
        <f t="shared" si="0"/>
        <v/>
      </c>
      <c r="J23" s="10"/>
      <c r="K23" s="58">
        <v>0.09</v>
      </c>
      <c r="L23" s="68">
        <f>SUM(K12:K23)</f>
        <v>0.99999999999999989</v>
      </c>
      <c r="M23" s="64">
        <f t="shared" si="8"/>
        <v>0</v>
      </c>
      <c r="N23" s="65">
        <f t="shared" si="9"/>
        <v>0</v>
      </c>
      <c r="O23" s="66">
        <f t="shared" si="10"/>
        <v>0</v>
      </c>
      <c r="P23" s="66">
        <f t="shared" si="11"/>
        <v>0.09</v>
      </c>
      <c r="Q23" s="99">
        <f t="shared" si="5"/>
        <v>0</v>
      </c>
      <c r="R23" s="99" t="b">
        <f t="shared" si="6"/>
        <v>0</v>
      </c>
      <c r="S23" s="65">
        <f t="shared" si="7"/>
        <v>0</v>
      </c>
    </row>
    <row r="24" spans="1:19" ht="13.5" customHeight="1">
      <c r="A24" s="130" t="s">
        <v>61</v>
      </c>
      <c r="B24" s="131"/>
      <c r="C24" s="131"/>
      <c r="D24" s="131"/>
      <c r="E24" s="131"/>
      <c r="F24" s="131"/>
      <c r="G24" s="131"/>
      <c r="H24" s="132"/>
      <c r="J24" s="11"/>
      <c r="K24" s="59">
        <v>0.2</v>
      </c>
      <c r="M24" s="67">
        <f>IF(N24=1,SUMPRODUCT(M25:M32,N25:N32)/SUMPRODUCT(K25:K32,N25:N32),0)</f>
        <v>0</v>
      </c>
      <c r="N24" s="65">
        <f>IF(SUM(N25:N32)=0,0,1)</f>
        <v>0</v>
      </c>
      <c r="P24" s="66">
        <f>SUM(P25:P32)</f>
        <v>1</v>
      </c>
      <c r="R24" s="99" t="b">
        <f>OR(R12=FALSE,R13=FALSE,R14=FALSE,R15=FALSE,R16=FALSE,R17=FALSE,R18=FALSE,R19=FALSE,R20=FALSE,R21=FALSE,R22=FALSE,R23=FALSE)</f>
        <v>1</v>
      </c>
      <c r="S24" s="65">
        <f t="shared" si="7"/>
        <v>0</v>
      </c>
    </row>
    <row r="25" spans="1:19">
      <c r="A25" s="137" t="s">
        <v>62</v>
      </c>
      <c r="B25" s="133" t="s">
        <v>63</v>
      </c>
      <c r="C25" s="74" t="s">
        <v>64</v>
      </c>
      <c r="D25" s="50"/>
      <c r="E25" s="52"/>
      <c r="F25" s="52"/>
      <c r="G25" s="52"/>
      <c r="H25" s="54"/>
      <c r="I25" s="91" t="str">
        <f t="shared" si="0"/>
        <v/>
      </c>
      <c r="J25" s="10"/>
      <c r="K25" s="58">
        <v>0.1</v>
      </c>
      <c r="M25" s="64">
        <f t="shared" ref="M25:M32" si="12">IF(H25&lt;&gt;"",1,IF(G25&lt;&gt;"",2/3,IF(F25&lt;&gt;"",1/3,0)))*K25*20</f>
        <v>0</v>
      </c>
      <c r="N25" s="65">
        <f t="shared" ref="N25:N32" si="13">IF(D25="",IF(E25&lt;&gt;"",1,0)+IF(F25&lt;&gt;"",1,0)+IF(G25&lt;&gt;"",1,0)+IF(H25&lt;&gt;"",1,0),0)</f>
        <v>0</v>
      </c>
      <c r="O25" s="66">
        <f t="shared" ref="O25:O32" si="14">IF(D25&lt;&gt;"",0,IF(E25="",(M25/(K25*20)),0.02+(M25/(K25*20))))</f>
        <v>0</v>
      </c>
      <c r="P25" s="66">
        <f t="shared" ref="P25:P32" si="15">IF(D25&lt;&gt;"",0,K25)</f>
        <v>0.1</v>
      </c>
      <c r="Q25" s="99">
        <f t="shared" si="5"/>
        <v>0</v>
      </c>
      <c r="R25" s="99" t="b">
        <f t="shared" si="6"/>
        <v>0</v>
      </c>
      <c r="S25" s="65">
        <f t="shared" si="7"/>
        <v>0</v>
      </c>
    </row>
    <row r="26" spans="1:19">
      <c r="A26" s="139"/>
      <c r="B26" s="140"/>
      <c r="C26" s="77" t="s">
        <v>65</v>
      </c>
      <c r="D26" s="23"/>
      <c r="E26" s="25"/>
      <c r="F26" s="25"/>
      <c r="G26" s="25"/>
      <c r="H26" s="27"/>
      <c r="I26" s="91" t="str">
        <f t="shared" si="0"/>
        <v/>
      </c>
      <c r="J26" s="10"/>
      <c r="K26" s="58">
        <v>0.05</v>
      </c>
      <c r="M26" s="64">
        <f t="shared" si="12"/>
        <v>0</v>
      </c>
      <c r="N26" s="65">
        <f t="shared" si="13"/>
        <v>0</v>
      </c>
      <c r="O26" s="66">
        <f t="shared" si="14"/>
        <v>0</v>
      </c>
      <c r="P26" s="66">
        <f t="shared" si="15"/>
        <v>0.05</v>
      </c>
      <c r="Q26" s="99">
        <f t="shared" si="5"/>
        <v>0</v>
      </c>
      <c r="R26" s="99" t="b">
        <f t="shared" si="6"/>
        <v>0</v>
      </c>
      <c r="S26" s="65">
        <f t="shared" si="7"/>
        <v>0</v>
      </c>
    </row>
    <row r="27" spans="1:19">
      <c r="A27" s="139"/>
      <c r="B27" s="140"/>
      <c r="C27" s="74" t="s">
        <v>66</v>
      </c>
      <c r="D27" s="50"/>
      <c r="E27" s="52"/>
      <c r="F27" s="52"/>
      <c r="G27" s="52"/>
      <c r="H27" s="54"/>
      <c r="I27" s="91" t="str">
        <f t="shared" si="0"/>
        <v/>
      </c>
      <c r="J27" s="10"/>
      <c r="K27" s="58">
        <v>0.05</v>
      </c>
      <c r="M27" s="64">
        <f t="shared" si="12"/>
        <v>0</v>
      </c>
      <c r="N27" s="65">
        <f t="shared" si="13"/>
        <v>0</v>
      </c>
      <c r="O27" s="66">
        <f t="shared" si="14"/>
        <v>0</v>
      </c>
      <c r="P27" s="66">
        <f t="shared" si="15"/>
        <v>0.05</v>
      </c>
      <c r="Q27" s="99">
        <f t="shared" si="5"/>
        <v>0</v>
      </c>
      <c r="R27" s="99" t="b">
        <f t="shared" si="6"/>
        <v>0</v>
      </c>
      <c r="S27" s="65">
        <f t="shared" si="7"/>
        <v>0</v>
      </c>
    </row>
    <row r="28" spans="1:19">
      <c r="A28" s="139"/>
      <c r="B28" s="140"/>
      <c r="C28" s="77" t="s">
        <v>67</v>
      </c>
      <c r="D28" s="23"/>
      <c r="E28" s="25"/>
      <c r="F28" s="25"/>
      <c r="G28" s="25"/>
      <c r="H28" s="27"/>
      <c r="I28" s="91" t="str">
        <f t="shared" si="0"/>
        <v/>
      </c>
      <c r="J28" s="10"/>
      <c r="K28" s="58">
        <v>0.1</v>
      </c>
      <c r="M28" s="64">
        <f t="shared" si="12"/>
        <v>0</v>
      </c>
      <c r="N28" s="65">
        <f t="shared" si="13"/>
        <v>0</v>
      </c>
      <c r="O28" s="66">
        <f t="shared" si="14"/>
        <v>0</v>
      </c>
      <c r="P28" s="66">
        <f t="shared" si="15"/>
        <v>0.1</v>
      </c>
      <c r="Q28" s="99">
        <f t="shared" si="5"/>
        <v>0</v>
      </c>
      <c r="R28" s="99" t="b">
        <f t="shared" si="6"/>
        <v>0</v>
      </c>
      <c r="S28" s="65">
        <f t="shared" si="7"/>
        <v>0</v>
      </c>
    </row>
    <row r="29" spans="1:19">
      <c r="A29" s="137" t="s">
        <v>68</v>
      </c>
      <c r="B29" s="162" t="s">
        <v>72</v>
      </c>
      <c r="C29" s="74" t="s">
        <v>69</v>
      </c>
      <c r="D29" s="50"/>
      <c r="E29" s="48"/>
      <c r="F29" s="48"/>
      <c r="G29" s="48"/>
      <c r="H29" s="57"/>
      <c r="I29" s="91" t="str">
        <f t="shared" si="0"/>
        <v/>
      </c>
      <c r="J29" s="10"/>
      <c r="K29" s="58">
        <v>0.2</v>
      </c>
      <c r="M29" s="64">
        <f t="shared" si="12"/>
        <v>0</v>
      </c>
      <c r="N29" s="65">
        <f t="shared" si="13"/>
        <v>0</v>
      </c>
      <c r="O29" s="66">
        <f t="shared" si="14"/>
        <v>0</v>
      </c>
      <c r="P29" s="66">
        <f t="shared" si="15"/>
        <v>0.2</v>
      </c>
      <c r="Q29" s="99">
        <f t="shared" si="5"/>
        <v>0</v>
      </c>
      <c r="R29" s="99" t="b">
        <f t="shared" si="6"/>
        <v>0</v>
      </c>
      <c r="S29" s="65">
        <f t="shared" si="7"/>
        <v>0</v>
      </c>
    </row>
    <row r="30" spans="1:19">
      <c r="A30" s="139"/>
      <c r="B30" s="163"/>
      <c r="C30" s="75" t="s">
        <v>70</v>
      </c>
      <c r="D30" s="23"/>
      <c r="E30" s="13"/>
      <c r="F30" s="13"/>
      <c r="G30" s="13"/>
      <c r="H30" s="15"/>
      <c r="I30" s="91" t="str">
        <f t="shared" si="0"/>
        <v/>
      </c>
      <c r="J30" s="10"/>
      <c r="K30" s="58">
        <v>0.1</v>
      </c>
      <c r="M30" s="64">
        <f t="shared" si="12"/>
        <v>0</v>
      </c>
      <c r="N30" s="65">
        <f t="shared" si="13"/>
        <v>0</v>
      </c>
      <c r="O30" s="66">
        <f t="shared" si="14"/>
        <v>0</v>
      </c>
      <c r="P30" s="66">
        <f t="shared" si="15"/>
        <v>0.1</v>
      </c>
      <c r="Q30" s="99">
        <f t="shared" si="5"/>
        <v>0</v>
      </c>
      <c r="R30" s="99" t="b">
        <f t="shared" si="6"/>
        <v>0</v>
      </c>
      <c r="S30" s="65">
        <f t="shared" si="7"/>
        <v>0</v>
      </c>
    </row>
    <row r="31" spans="1:19">
      <c r="A31" s="139"/>
      <c r="B31" s="163"/>
      <c r="C31" s="74" t="s">
        <v>71</v>
      </c>
      <c r="D31" s="50"/>
      <c r="E31" s="48"/>
      <c r="F31" s="48"/>
      <c r="G31" s="48"/>
      <c r="H31" s="57"/>
      <c r="I31" s="91" t="str">
        <f t="shared" si="0"/>
        <v/>
      </c>
      <c r="J31" s="10"/>
      <c r="K31" s="58">
        <v>0.2</v>
      </c>
      <c r="M31" s="64">
        <f t="shared" si="12"/>
        <v>0</v>
      </c>
      <c r="N31" s="65">
        <f t="shared" si="13"/>
        <v>0</v>
      </c>
      <c r="O31" s="66">
        <f t="shared" si="14"/>
        <v>0</v>
      </c>
      <c r="P31" s="66">
        <f t="shared" si="15"/>
        <v>0.2</v>
      </c>
      <c r="Q31" s="99">
        <f t="shared" si="5"/>
        <v>0</v>
      </c>
      <c r="R31" s="99" t="b">
        <f t="shared" si="6"/>
        <v>0</v>
      </c>
      <c r="S31" s="65">
        <f t="shared" si="7"/>
        <v>0</v>
      </c>
    </row>
    <row r="32" spans="1:19" ht="13.5" thickBot="1">
      <c r="A32" s="142"/>
      <c r="B32" s="164"/>
      <c r="C32" s="78" t="s">
        <v>73</v>
      </c>
      <c r="D32" s="29"/>
      <c r="E32" s="46"/>
      <c r="F32" s="46"/>
      <c r="G32" s="46"/>
      <c r="H32" s="47"/>
      <c r="I32" s="91" t="str">
        <f t="shared" si="0"/>
        <v/>
      </c>
      <c r="J32" s="10"/>
      <c r="K32" s="58">
        <v>0.2</v>
      </c>
      <c r="L32" s="68">
        <f>SUM(K25:K32)</f>
        <v>1</v>
      </c>
      <c r="M32" s="64">
        <f t="shared" si="12"/>
        <v>0</v>
      </c>
      <c r="N32" s="65">
        <f t="shared" si="13"/>
        <v>0</v>
      </c>
      <c r="O32" s="66">
        <f t="shared" si="14"/>
        <v>0</v>
      </c>
      <c r="P32" s="66">
        <f t="shared" si="15"/>
        <v>0.2</v>
      </c>
      <c r="Q32" s="99">
        <f t="shared" si="5"/>
        <v>0</v>
      </c>
      <c r="R32" s="99" t="b">
        <f t="shared" si="6"/>
        <v>0</v>
      </c>
      <c r="S32" s="65">
        <f t="shared" si="7"/>
        <v>0</v>
      </c>
    </row>
    <row r="33" spans="1:18">
      <c r="C33" s="12" t="s">
        <v>18</v>
      </c>
      <c r="E33" s="122">
        <f>P4*K4+P11*K11+P24*K24</f>
        <v>1</v>
      </c>
      <c r="F33" s="123"/>
      <c r="G33" s="123"/>
      <c r="H33" s="123"/>
      <c r="I33" s="98" t="s">
        <v>74</v>
      </c>
      <c r="J33" s="119" t="str">
        <f>IF(R34=TRUE,"ATTENTION, au moins une ligne à évaluer n'est pas renseignée","")</f>
        <v>ATTENTION, au moins une ligne à évaluer n'est pas renseignée</v>
      </c>
      <c r="K33" s="89">
        <f>K24+K11+K4</f>
        <v>1</v>
      </c>
      <c r="N33" s="65">
        <f>N4+N11+N24</f>
        <v>0</v>
      </c>
      <c r="P33" s="69"/>
      <c r="Q33" s="99">
        <f>SUM(Q5:Q32)</f>
        <v>0</v>
      </c>
      <c r="R33" s="99" t="b">
        <f>OR(R25=FALSE,R26=FALSE,R27=FALSE,R28=FALSE,R29=FALSE,R30=FALSE,R31=FALSE,R32=FALSE)</f>
        <v>1</v>
      </c>
    </row>
    <row r="34" spans="1:18" ht="13.5" thickBot="1">
      <c r="C34" s="3" t="s">
        <v>31</v>
      </c>
      <c r="E34" s="143">
        <f>IF(E33&lt;50%,"!",IF(Q33&lt;&gt;0,"",(IF(N33&lt;&gt;0,(M4*K4+M11*K11+M24*K24)/(K4*N4+K11*N11+K24*N24),0))))</f>
        <v>0</v>
      </c>
      <c r="F34" s="143"/>
      <c r="G34" s="144" t="s">
        <v>10</v>
      </c>
      <c r="H34" s="144"/>
      <c r="I34" s="96" t="s">
        <v>75</v>
      </c>
      <c r="J34" s="119"/>
      <c r="R34" s="99" t="b">
        <f>OR(R11=TRUE,R24=TRUE,R33=TRUE)</f>
        <v>1</v>
      </c>
    </row>
    <row r="35" spans="1:18" ht="13.5" thickBot="1">
      <c r="C35" s="3" t="s">
        <v>19</v>
      </c>
      <c r="E35" s="152"/>
      <c r="F35" s="153"/>
      <c r="G35" s="154" t="s">
        <v>8</v>
      </c>
      <c r="H35" s="155"/>
      <c r="I35" s="96" t="s">
        <v>75</v>
      </c>
      <c r="J35" s="119"/>
    </row>
    <row r="36" spans="1:18" ht="18.75" customHeight="1" thickBot="1">
      <c r="C36" s="3" t="s">
        <v>20</v>
      </c>
      <c r="E36" s="166">
        <f>IF(Q33&lt;&gt;0,"",E35*Identification!B4)</f>
        <v>0</v>
      </c>
      <c r="F36" s="167"/>
      <c r="G36" s="158">
        <f>(20*Identification!B4)</f>
        <v>40</v>
      </c>
      <c r="H36" s="159"/>
      <c r="I36" s="96" t="s">
        <v>75</v>
      </c>
      <c r="J36" s="119"/>
    </row>
    <row r="37" spans="1:18">
      <c r="A37" s="165" t="s">
        <v>26</v>
      </c>
      <c r="B37" s="165"/>
      <c r="C37" s="165"/>
      <c r="D37" s="165"/>
      <c r="E37" s="165"/>
      <c r="F37" s="165"/>
      <c r="G37" s="165"/>
      <c r="H37" s="165"/>
      <c r="I37" s="96" t="s">
        <v>75</v>
      </c>
      <c r="J37" s="119"/>
    </row>
    <row r="38" spans="1:18" ht="13.5" thickBot="1">
      <c r="A38" s="150" t="s">
        <v>77</v>
      </c>
      <c r="B38" s="151"/>
      <c r="C38" s="151"/>
      <c r="D38" s="151"/>
      <c r="E38" s="151"/>
      <c r="F38" s="151"/>
      <c r="G38" s="151"/>
      <c r="H38" s="151"/>
      <c r="I38" s="100" t="s">
        <v>76</v>
      </c>
      <c r="J38" s="119"/>
    </row>
    <row r="39" spans="1:18" ht="15" customHeight="1">
      <c r="A39" s="145" t="s">
        <v>11</v>
      </c>
      <c r="B39" s="146"/>
      <c r="C39" s="156" t="str">
        <f>(IF(Q33&gt;0,"Attention erreur de saisie ! Voir ci-dessus",""))</f>
        <v/>
      </c>
      <c r="D39" s="156"/>
      <c r="E39" s="156"/>
      <c r="F39" s="156"/>
      <c r="G39" s="156"/>
      <c r="H39" s="157"/>
      <c r="I39" s="92"/>
    </row>
    <row r="40" spans="1:18" ht="84.75" customHeight="1" thickBot="1">
      <c r="A40" s="147"/>
      <c r="B40" s="148"/>
      <c r="C40" s="148"/>
      <c r="D40" s="148"/>
      <c r="E40" s="148"/>
      <c r="F40" s="148"/>
      <c r="G40" s="148"/>
      <c r="H40" s="149"/>
      <c r="I40" s="93"/>
    </row>
    <row r="41" spans="1:18" ht="7.5" customHeight="1" thickBot="1">
      <c r="A41" s="18"/>
      <c r="B41" s="7"/>
      <c r="C41" s="7"/>
      <c r="D41" s="16"/>
      <c r="E41" s="16"/>
      <c r="F41" s="16"/>
      <c r="G41" s="16"/>
      <c r="H41" s="16"/>
      <c r="I41" s="94"/>
    </row>
    <row r="42" spans="1:18" ht="12.75" customHeight="1">
      <c r="A42" s="160" t="s">
        <v>24</v>
      </c>
      <c r="B42" s="161"/>
      <c r="C42" s="8" t="s">
        <v>15</v>
      </c>
      <c r="D42" s="20"/>
      <c r="E42" s="168" t="s">
        <v>16</v>
      </c>
      <c r="F42" s="169"/>
      <c r="G42" s="169"/>
      <c r="H42" s="170"/>
      <c r="I42" s="92"/>
    </row>
    <row r="43" spans="1:18" ht="30.95" customHeight="1" thickBot="1">
      <c r="A43" s="173"/>
      <c r="B43" s="174"/>
      <c r="C43" s="4"/>
      <c r="D43" s="21"/>
      <c r="E43" s="175"/>
      <c r="F43" s="176"/>
      <c r="G43" s="176"/>
      <c r="H43" s="177"/>
      <c r="I43" s="95"/>
    </row>
    <row r="44" spans="1:18" ht="30.95" customHeight="1">
      <c r="A44" s="173"/>
      <c r="B44" s="174"/>
      <c r="C44" s="4"/>
      <c r="D44" s="21"/>
    </row>
    <row r="45" spans="1:18" ht="30.95" customHeight="1">
      <c r="A45" s="180"/>
      <c r="B45" s="181"/>
      <c r="C45" s="4"/>
      <c r="D45" s="21"/>
    </row>
    <row r="46" spans="1:18" ht="30.95" customHeight="1">
      <c r="A46" s="173"/>
      <c r="B46" s="174"/>
      <c r="C46" s="4"/>
      <c r="D46" s="21"/>
    </row>
    <row r="47" spans="1:18" ht="30.95" customHeight="1" thickBot="1">
      <c r="A47" s="171"/>
      <c r="B47" s="172"/>
      <c r="C47" s="5"/>
      <c r="D47" s="21"/>
      <c r="E47" s="178">
        <f ca="1">TODAY()</f>
        <v>41419</v>
      </c>
      <c r="F47" s="179"/>
      <c r="G47" s="179"/>
      <c r="H47" s="179"/>
      <c r="I47" s="97"/>
    </row>
    <row r="49" spans="2:2" ht="14.25">
      <c r="B49" s="22"/>
    </row>
  </sheetData>
  <sheetProtection password="F2EA" sheet="1" objects="1" scenarios="1"/>
  <mergeCells count="39">
    <mergeCell ref="A47:B47"/>
    <mergeCell ref="A43:B43"/>
    <mergeCell ref="E43:H43"/>
    <mergeCell ref="A44:B44"/>
    <mergeCell ref="A46:B46"/>
    <mergeCell ref="E47:H47"/>
    <mergeCell ref="A45:B45"/>
    <mergeCell ref="A42:B42"/>
    <mergeCell ref="B29:B32"/>
    <mergeCell ref="A29:A32"/>
    <mergeCell ref="A37:H37"/>
    <mergeCell ref="E36:F36"/>
    <mergeCell ref="E42:H42"/>
    <mergeCell ref="G34:H34"/>
    <mergeCell ref="A39:B39"/>
    <mergeCell ref="A40:H40"/>
    <mergeCell ref="A25:A28"/>
    <mergeCell ref="B25:B28"/>
    <mergeCell ref="A38:H38"/>
    <mergeCell ref="E35:F35"/>
    <mergeCell ref="G35:H35"/>
    <mergeCell ref="C39:H39"/>
    <mergeCell ref="G36:H36"/>
    <mergeCell ref="A7:A10"/>
    <mergeCell ref="B7:B10"/>
    <mergeCell ref="A12:A16"/>
    <mergeCell ref="B17:B23"/>
    <mergeCell ref="A17:A23"/>
    <mergeCell ref="E34:F34"/>
    <mergeCell ref="J33:J38"/>
    <mergeCell ref="D2:H2"/>
    <mergeCell ref="A3:B3"/>
    <mergeCell ref="E33:H33"/>
    <mergeCell ref="A4:H4"/>
    <mergeCell ref="A11:H11"/>
    <mergeCell ref="A24:H24"/>
    <mergeCell ref="B5:B6"/>
    <mergeCell ref="B12:B16"/>
    <mergeCell ref="A5:A6"/>
  </mergeCells>
  <phoneticPr fontId="7" type="noConversion"/>
  <printOptions horizontalCentered="1" verticalCentered="1"/>
  <pageMargins left="0.27559055118110237" right="0.19685039370078741" top="0.13" bottom="0.13" header="0.16" footer="0.15748031496062992"/>
  <pageSetup paperSize="9" scale="64" orientation="landscape" horizontalDpi="4294967293" r:id="rId1"/>
  <headerFooter alignWithMargins="0">
    <oddFooter>&amp;RPage 2</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Identification</vt:lpstr>
      <vt:lpstr>Notation</vt:lpstr>
      <vt:lpstr>Identification!Zone_d_impression</vt:lpstr>
      <vt:lpstr>Notation!Zone_d_impression</vt:lpstr>
    </vt:vector>
  </TitlesOfParts>
  <Company>STSI</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Jacques PERRIN</dc:creator>
  <cp:lastModifiedBy>Cedrick</cp:lastModifiedBy>
  <cp:lastPrinted>2011-12-06T21:35:17Z</cp:lastPrinted>
  <dcterms:created xsi:type="dcterms:W3CDTF">2011-09-24T16:55:29Z</dcterms:created>
  <dcterms:modified xsi:type="dcterms:W3CDTF">2013-05-25T09:20:55Z</dcterms:modified>
</cp:coreProperties>
</file>