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codeName="ThisWorkbook" autoCompressPictures="0"/>
  <bookViews>
    <workbookView xWindow="60" yWindow="0" windowWidth="12120" windowHeight="9120" tabRatio="500" activeTab="1"/>
  </bookViews>
  <sheets>
    <sheet name="Identification" sheetId="2" r:id="rId1"/>
    <sheet name="Notation" sheetId="1" r:id="rId2"/>
  </sheets>
  <externalReferences>
    <externalReference r:id="rId3"/>
  </externalReferenc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" i="1" l="1"/>
  <c r="I9" i="1"/>
  <c r="E25" i="1"/>
  <c r="M5" i="1"/>
  <c r="M6" i="1"/>
  <c r="I6" i="1" s="1"/>
  <c r="M7" i="1"/>
  <c r="M10" i="1"/>
  <c r="I10" i="1" s="1"/>
  <c r="M11" i="1"/>
  <c r="I11" i="1" s="1"/>
  <c r="M12" i="1"/>
  <c r="M13" i="1"/>
  <c r="M15" i="1"/>
  <c r="M16" i="1"/>
  <c r="I16" i="1" s="1"/>
  <c r="M17" i="1"/>
  <c r="I17" i="1" s="1"/>
  <c r="M18" i="1"/>
  <c r="I18" i="1" s="1"/>
  <c r="M20" i="1"/>
  <c r="M21" i="1"/>
  <c r="L5" i="1"/>
  <c r="N5" i="1" s="1"/>
  <c r="L6" i="1"/>
  <c r="L7" i="1"/>
  <c r="N7" i="1" s="1"/>
  <c r="I7" i="1"/>
  <c r="I12" i="1"/>
  <c r="I13" i="1"/>
  <c r="I15" i="1"/>
  <c r="I20" i="1"/>
  <c r="I21" i="1"/>
  <c r="L21" i="1"/>
  <c r="N21" i="1" s="1"/>
  <c r="L20" i="1"/>
  <c r="L19" i="1" s="1"/>
  <c r="N20" i="1"/>
  <c r="L16" i="1"/>
  <c r="N16" i="1" s="1"/>
  <c r="L17" i="1"/>
  <c r="N17" i="1" s="1"/>
  <c r="L18" i="1"/>
  <c r="N18" i="1" s="1"/>
  <c r="L15" i="1"/>
  <c r="N15" i="1" s="1"/>
  <c r="L10" i="1"/>
  <c r="N10" i="1" s="1"/>
  <c r="L11" i="1"/>
  <c r="N11" i="1"/>
  <c r="L12" i="1"/>
  <c r="N12" i="1" s="1"/>
  <c r="L13" i="1"/>
  <c r="N13" i="1" s="1"/>
  <c r="L9" i="1"/>
  <c r="N9" i="1"/>
  <c r="N6" i="1"/>
  <c r="D1" i="1"/>
  <c r="G25" i="1"/>
  <c r="J22" i="1"/>
  <c r="L14" i="1" l="1"/>
  <c r="L8" i="1"/>
  <c r="L4" i="1"/>
  <c r="M22" i="1"/>
  <c r="E23" i="1" s="1"/>
  <c r="I5" i="1"/>
</calcChain>
</file>

<file path=xl/sharedStrings.xml><?xml version="1.0" encoding="utf-8"?>
<sst xmlns="http://schemas.openxmlformats.org/spreadsheetml/2006/main" count="72" uniqueCount="72">
  <si>
    <t>Poids de la compétence</t>
  </si>
  <si>
    <t>Compétences évaluées</t>
  </si>
  <si>
    <r>
      <t xml:space="preserve">Indicateurs de performance                                                               </t>
    </r>
    <r>
      <rPr>
        <b/>
        <i/>
        <sz val="9"/>
        <rFont val="Arial"/>
        <family val="2"/>
      </rPr>
      <t xml:space="preserve"> </t>
    </r>
    <r>
      <rPr>
        <sz val="9"/>
        <rFont val="Arial"/>
        <family val="2"/>
      </rPr>
      <t>évaluation</t>
    </r>
  </si>
  <si>
    <t>Poids du critère</t>
  </si>
  <si>
    <t xml:space="preserve">Note brute </t>
  </si>
  <si>
    <t>O1 -  Caractériser des systèmes privilégiant un usage raisonné du point de vue développement durable</t>
  </si>
  <si>
    <t>CO1.1</t>
  </si>
  <si>
    <t>Justifier les choix des matériaux, des structures du système et les énergies mises en œuvre dans une approche de développement durable</t>
  </si>
  <si>
    <t>CO1.2</t>
  </si>
  <si>
    <t>Justifier le choix d’une solution selon des contraintes d’ergonomie et d’effets sur la santé de l’homme et du vivant</t>
  </si>
  <si>
    <t>O2 - Identifier les éléments permettant la limitation de l’Impact environnemental d’un système et de ses constituants</t>
  </si>
  <si>
    <t>CO2.1</t>
  </si>
  <si>
    <t>CO6.1</t>
  </si>
  <si>
    <t>Décrire une idée, un principe, une solution, un projet en utilisant des outils de représentation adaptés</t>
  </si>
  <si>
    <t>CO6.2</t>
  </si>
  <si>
    <t>Décrire le fonctionnement et/ou l’exploitation d’un système en utilisant l'outil de description le plus pertinent</t>
  </si>
  <si>
    <t>Les résultats sont présentés et commentés de manière claire et concise</t>
  </si>
  <si>
    <t>O8 -Valider des solutions techniques</t>
  </si>
  <si>
    <t>CO8.0</t>
  </si>
  <si>
    <t xml:space="preserve"> /20</t>
  </si>
  <si>
    <t>Note sur 20 proposée au jury* :</t>
  </si>
  <si>
    <t>/20</t>
  </si>
  <si>
    <t>Note x coefficient :</t>
  </si>
  <si>
    <t></t>
  </si>
  <si>
    <t>Appréciation globale</t>
  </si>
  <si>
    <t>La description du principe ou de la solution est synthétique et correcte</t>
  </si>
  <si>
    <t>La description du fonctionnement ou de l'exploitation du système est synthétique et correcte</t>
  </si>
  <si>
    <t>O6 - Communiquer une idée, un principe ou une solution technique, un projet</t>
  </si>
  <si>
    <t>Le choix de la démarche retenue est argumentée</t>
  </si>
  <si>
    <t>C06.3</t>
  </si>
  <si>
    <t>Présenter et argumenter des démarches et des résultats</t>
  </si>
  <si>
    <t>Le choix des matériaux et/ou des matériels est justifié, des critères d'éco conception sont pris en compte</t>
  </si>
  <si>
    <t>Les flux et la forme de l'énergie et/ou de l'information sont décrits de façon qualitative</t>
  </si>
  <si>
    <t>Note brute obtenue par calcul automatique (tous les indicateurs doivent être renseignés) :</t>
  </si>
  <si>
    <t>C02.2</t>
  </si>
  <si>
    <t>Justifier les solutions constructives d'un système au regard des impacts environnementaux et économiques engendrés tout au long de son cycle de vie</t>
  </si>
  <si>
    <t>Justifier des éléments d'une solution technique et analyser les écarts par rapport au cahier des charges</t>
  </si>
  <si>
    <t>Les solutions techniques envisagées sont correctement analysées au regard des résultats d'expérimentations et/ou de tests et/ou de simulations</t>
  </si>
  <si>
    <t xml:space="preserve">La  structure matérielle et/ou informationnelle est correctement justifiée </t>
  </si>
  <si>
    <t>L'origine des écarts entre les résultats obtenus et les exigences du cahier des charges est correctement identifiée</t>
  </si>
  <si>
    <r>
      <t>ATTENTION</t>
    </r>
    <r>
      <rPr>
        <i/>
        <sz val="8"/>
        <color indexed="10"/>
        <rFont val="Arial"/>
        <family val="2"/>
      </rPr>
      <t xml:space="preserve">, si le symbole </t>
    </r>
    <r>
      <rPr>
        <sz val="8"/>
        <color indexed="10"/>
        <rFont val="Arial"/>
        <family val="2"/>
      </rPr>
      <t>◄</t>
    </r>
    <r>
      <rPr>
        <i/>
        <sz val="8"/>
        <color indexed="10"/>
        <rFont val="Arial"/>
        <family val="2"/>
      </rPr>
      <t xml:space="preserve"> apparait dans cette colonne c'est qu'il y a soit plus d'une valeur donnée à l'indicateur, soit pas de valeur, il faut alors choisir laquelle retenir</t>
    </r>
  </si>
  <si>
    <r>
      <t>La justification des paramètres de confort et</t>
    </r>
    <r>
      <rPr>
        <b/>
        <sz val="10"/>
        <color theme="1"/>
        <rFont val="Arial"/>
        <family val="2"/>
      </rPr>
      <t>/ou</t>
    </r>
    <r>
      <rPr>
        <sz val="10"/>
        <color theme="1"/>
        <rFont val="Arial"/>
        <family val="2"/>
      </rPr>
      <t xml:space="preserve"> la réponse apportée par le système aux contraintes de préservation de la santé et du respect de la sécurité sont explicitées</t>
    </r>
  </si>
  <si>
    <t xml:space="preserve">La relation entre une fonction, des solutions et leur impact environnemental ou sociétal est précisée </t>
  </si>
  <si>
    <t xml:space="preserve">Le compromis technico économique et/ou la prise en compte des normes et réglementations est expliqué </t>
  </si>
  <si>
    <t>Les caractéristiques d'entrées sorties des transformations ou modulations sont correctement précisées</t>
  </si>
  <si>
    <t>Noms des Evaluateurs / Signatures</t>
  </si>
  <si>
    <t>Date :</t>
  </si>
  <si>
    <t>L'analyse globale d'une chaine (énergie, action, information) est correctement réalisée</t>
  </si>
  <si>
    <t>NOM Prénom</t>
  </si>
  <si>
    <t>Baccalauréat sciences et technologies de l'industrie et du développement durable (STI2D)</t>
  </si>
  <si>
    <t>Fiche d'évaluation présentation du projet</t>
  </si>
  <si>
    <t>Présentation projet</t>
  </si>
  <si>
    <t xml:space="preserve">Identifier les flux et la forme de l’énergie, caractériser ses transformations et/ou modulations </t>
  </si>
  <si>
    <t>Identifications</t>
  </si>
  <si>
    <t>Diplôme :</t>
  </si>
  <si>
    <t>Baccalauréat technologique "Sciences et Technologie Industrielles du Développement Durable"</t>
  </si>
  <si>
    <t>Spécialité</t>
  </si>
  <si>
    <t>Toutes options</t>
  </si>
  <si>
    <t>Epreuve :</t>
  </si>
  <si>
    <t>Coefficient :</t>
  </si>
  <si>
    <t>Établissement :</t>
  </si>
  <si>
    <t xml:space="preserve">Session : </t>
  </si>
  <si>
    <t>Nom du candidat :</t>
  </si>
  <si>
    <t>Prénom du candidat :</t>
  </si>
  <si>
    <t>Date de l'évaluation :</t>
  </si>
  <si>
    <t>Lieu de l'évaluation :</t>
  </si>
  <si>
    <t>Titre et description sommaire du projet</t>
  </si>
  <si>
    <t xml:space="preserve">
</t>
  </si>
  <si>
    <t>Travail demandé au candidat</t>
  </si>
  <si>
    <t>Données fournies au candidat</t>
  </si>
  <si>
    <t>Résultats obtenus</t>
  </si>
  <si>
    <t>Présentation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</si>
</sst>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7">
    <font>
      <sz val="12"/>
      <color theme="1"/>
      <name val="Calibri"/>
      <family val="2"/>
      <charset val="128"/>
      <scheme val="minor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12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i/>
      <sz val="10"/>
      <color indexed="12"/>
      <name val="Arial"/>
      <family val="2"/>
    </font>
    <font>
      <b/>
      <sz val="7"/>
      <color indexed="12"/>
      <name val="Arial"/>
      <family val="2"/>
    </font>
    <font>
      <b/>
      <sz val="12"/>
      <color indexed="10"/>
      <name val="Arial"/>
      <family val="2"/>
    </font>
    <font>
      <b/>
      <i/>
      <sz val="8"/>
      <color indexed="10"/>
      <name val="Arial"/>
      <family val="2"/>
    </font>
    <font>
      <i/>
      <sz val="8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10"/>
      <name val="Wingdings"/>
      <charset val="2"/>
    </font>
    <font>
      <sz val="9"/>
      <color indexed="10"/>
      <name val="Arial Narrow"/>
      <family val="2"/>
    </font>
    <font>
      <sz val="1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2"/>
      <color theme="10"/>
      <name val="Calibri"/>
      <family val="2"/>
      <charset val="128"/>
      <scheme val="minor"/>
    </font>
    <font>
      <u/>
      <sz val="12"/>
      <color theme="11"/>
      <name val="Calibri"/>
      <family val="2"/>
      <charset val="128"/>
      <scheme val="minor"/>
    </font>
    <font>
      <b/>
      <sz val="10"/>
      <color theme="1"/>
      <name val="Arial"/>
      <family val="2"/>
    </font>
    <font>
      <i/>
      <sz val="9"/>
      <color theme="1"/>
      <name val="Arial"/>
      <family val="2"/>
    </font>
    <font>
      <sz val="10"/>
      <color theme="0"/>
      <name val="Arial"/>
      <family val="2"/>
    </font>
    <font>
      <b/>
      <sz val="9"/>
      <color indexed="9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9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68">
    <xf numFmtId="0" fontId="0" fillId="0" borderId="0" xfId="0"/>
    <xf numFmtId="0" fontId="1" fillId="0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9" fontId="5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/>
    <xf numFmtId="0" fontId="8" fillId="0" borderId="0" xfId="0" applyFont="1" applyBorder="1" applyAlignment="1">
      <alignment horizontal="right" vertical="center"/>
    </xf>
    <xf numFmtId="0" fontId="10" fillId="0" borderId="0" xfId="0" applyFont="1" applyBorder="1" applyAlignment="1">
      <alignment horizontal="right" vertical="center"/>
    </xf>
    <xf numFmtId="0" fontId="11" fillId="0" borderId="0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16" fillId="0" borderId="0" xfId="0" applyFont="1" applyBorder="1" applyAlignment="1">
      <alignment horizontal="right" vertical="center"/>
    </xf>
    <xf numFmtId="0" fontId="12" fillId="0" borderId="0" xfId="0" applyFont="1" applyBorder="1" applyAlignment="1">
      <alignment horizontal="center" vertical="center"/>
    </xf>
    <xf numFmtId="9" fontId="18" fillId="0" borderId="0" xfId="0" applyNumberFormat="1" applyFont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top" wrapText="1"/>
    </xf>
    <xf numFmtId="0" fontId="25" fillId="0" borderId="0" xfId="0" applyFont="1"/>
    <xf numFmtId="0" fontId="27" fillId="6" borderId="1" xfId="0" applyFont="1" applyFill="1" applyBorder="1" applyAlignment="1">
      <alignment vertical="center" wrapText="1"/>
    </xf>
    <xf numFmtId="0" fontId="9" fillId="0" borderId="0" xfId="0" applyFont="1" applyBorder="1" applyAlignment="1">
      <alignment horizontal="center" vertical="center"/>
    </xf>
    <xf numFmtId="2" fontId="27" fillId="0" borderId="0" xfId="0" applyNumberFormat="1" applyFont="1" applyBorder="1" applyAlignment="1">
      <alignment horizontal="center" vertical="center"/>
    </xf>
    <xf numFmtId="0" fontId="27" fillId="0" borderId="0" xfId="0" applyFont="1" applyBorder="1" applyAlignment="1">
      <alignment vertical="center"/>
    </xf>
    <xf numFmtId="0" fontId="27" fillId="0" borderId="8" xfId="0" applyFont="1" applyFill="1" applyBorder="1" applyAlignment="1">
      <alignment vertical="center" wrapText="1"/>
    </xf>
    <xf numFmtId="0" fontId="27" fillId="0" borderId="6" xfId="0" applyFont="1" applyBorder="1" applyAlignment="1" applyProtection="1">
      <alignment horizontal="center" vertical="center"/>
      <protection locked="0"/>
    </xf>
    <xf numFmtId="0" fontId="27" fillId="0" borderId="7" xfId="0" applyFont="1" applyFill="1" applyBorder="1" applyAlignment="1" applyProtection="1">
      <alignment horizontal="center" vertical="center"/>
      <protection locked="0"/>
    </xf>
    <xf numFmtId="0" fontId="27" fillId="3" borderId="8" xfId="0" applyFont="1" applyFill="1" applyBorder="1" applyAlignment="1">
      <alignment vertical="center" wrapText="1"/>
    </xf>
    <xf numFmtId="0" fontId="27" fillId="3" borderId="8" xfId="0" applyFont="1" applyFill="1" applyBorder="1" applyAlignment="1" applyProtection="1">
      <alignment horizontal="center" vertical="center"/>
      <protection locked="0"/>
    </xf>
    <xf numFmtId="0" fontId="27" fillId="3" borderId="9" xfId="0" applyFont="1" applyFill="1" applyBorder="1" applyAlignment="1" applyProtection="1">
      <alignment horizontal="center" vertical="center"/>
      <protection locked="0"/>
    </xf>
    <xf numFmtId="0" fontId="30" fillId="0" borderId="26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left" vertical="center" wrapText="1"/>
    </xf>
    <xf numFmtId="0" fontId="27" fillId="3" borderId="8" xfId="0" applyFont="1" applyFill="1" applyBorder="1" applyAlignment="1" applyProtection="1">
      <alignment horizontal="center" vertical="center" wrapText="1"/>
      <protection locked="0"/>
    </xf>
    <xf numFmtId="0" fontId="27" fillId="3" borderId="10" xfId="0" applyFont="1" applyFill="1" applyBorder="1" applyAlignment="1" applyProtection="1">
      <alignment horizontal="center" vertical="center" wrapText="1"/>
      <protection locked="0"/>
    </xf>
    <xf numFmtId="0" fontId="27" fillId="3" borderId="11" xfId="0" applyFont="1" applyFill="1" applyBorder="1" applyAlignment="1" applyProtection="1">
      <alignment horizontal="center" vertical="center" wrapText="1"/>
      <protection locked="0"/>
    </xf>
    <xf numFmtId="0" fontId="27" fillId="0" borderId="8" xfId="0" applyFont="1" applyFill="1" applyBorder="1" applyAlignment="1" applyProtection="1">
      <alignment horizontal="center" vertical="center" wrapText="1"/>
      <protection locked="0"/>
    </xf>
    <xf numFmtId="0" fontId="27" fillId="0" borderId="7" xfId="0" applyFont="1" applyFill="1" applyBorder="1" applyAlignment="1" applyProtection="1">
      <alignment horizontal="center" vertical="center" wrapText="1"/>
      <protection locked="0"/>
    </xf>
    <xf numFmtId="0" fontId="27" fillId="3" borderId="17" xfId="0" applyFont="1" applyFill="1" applyBorder="1" applyAlignment="1">
      <alignment vertical="center" wrapText="1"/>
    </xf>
    <xf numFmtId="0" fontId="27" fillId="3" borderId="17" xfId="0" applyFont="1" applyFill="1" applyBorder="1" applyAlignment="1" applyProtection="1">
      <alignment horizontal="center" vertical="center" wrapText="1"/>
      <protection locked="0"/>
    </xf>
    <xf numFmtId="0" fontId="27" fillId="3" borderId="22" xfId="0" applyFont="1" applyFill="1" applyBorder="1" applyAlignment="1" applyProtection="1">
      <alignment horizontal="center" vertical="center" wrapText="1"/>
      <protection locked="0"/>
    </xf>
    <xf numFmtId="0" fontId="30" fillId="0" borderId="25" xfId="0" applyFont="1" applyFill="1" applyBorder="1" applyAlignment="1">
      <alignment horizontal="center" vertical="center" wrapText="1"/>
    </xf>
    <xf numFmtId="0" fontId="27" fillId="0" borderId="8" xfId="0" applyFont="1" applyBorder="1" applyAlignment="1">
      <alignment horizontal="left" vertical="center" wrapText="1"/>
    </xf>
    <xf numFmtId="0" fontId="27" fillId="0" borderId="8" xfId="0" applyFont="1" applyBorder="1" applyAlignment="1">
      <alignment vertical="center" wrapText="1"/>
    </xf>
    <xf numFmtId="0" fontId="27" fillId="0" borderId="11" xfId="0" applyFont="1" applyFill="1" applyBorder="1" applyAlignment="1" applyProtection="1">
      <alignment horizontal="center" vertical="center" wrapText="1"/>
      <protection locked="0"/>
    </xf>
    <xf numFmtId="0" fontId="27" fillId="6" borderId="8" xfId="0" applyFont="1" applyFill="1" applyBorder="1" applyAlignment="1">
      <alignment vertical="center" wrapText="1"/>
    </xf>
    <xf numFmtId="0" fontId="27" fillId="7" borderId="8" xfId="0" applyFont="1" applyFill="1" applyBorder="1" applyAlignment="1">
      <alignment vertical="center" wrapText="1"/>
    </xf>
    <xf numFmtId="0" fontId="27" fillId="7" borderId="17" xfId="0" applyFont="1" applyFill="1" applyBorder="1" applyAlignment="1">
      <alignment vertical="center" wrapText="1"/>
    </xf>
    <xf numFmtId="9" fontId="4" fillId="0" borderId="0" xfId="0" applyNumberFormat="1" applyFont="1" applyBorder="1" applyAlignment="1">
      <alignment horizontal="left" vertical="center"/>
    </xf>
    <xf numFmtId="9" fontId="14" fillId="5" borderId="8" xfId="0" applyNumberFormat="1" applyFont="1" applyFill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2" fontId="30" fillId="5" borderId="8" xfId="0" applyNumberFormat="1" applyFont="1" applyFill="1" applyBorder="1" applyAlignment="1">
      <alignment horizontal="center" vertical="center"/>
    </xf>
    <xf numFmtId="2" fontId="27" fillId="0" borderId="8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vertical="center"/>
    </xf>
    <xf numFmtId="10" fontId="32" fillId="0" borderId="0" xfId="0" applyNumberFormat="1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9" fontId="14" fillId="0" borderId="0" xfId="0" applyNumberFormat="1" applyFont="1" applyBorder="1" applyAlignment="1">
      <alignment horizontal="center" vertical="center"/>
    </xf>
    <xf numFmtId="0" fontId="8" fillId="5" borderId="0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vertical="center"/>
    </xf>
    <xf numFmtId="0" fontId="35" fillId="0" borderId="0" xfId="0" applyFont="1" applyBorder="1" applyAlignment="1">
      <alignment vertical="center"/>
    </xf>
    <xf numFmtId="10" fontId="35" fillId="0" borderId="0" xfId="0" applyNumberFormat="1" applyFont="1" applyBorder="1" applyAlignmen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7" xfId="0" applyFont="1" applyFill="1" applyBorder="1" applyAlignment="1" applyProtection="1">
      <alignment horizontal="center" vertical="center"/>
      <protection locked="0"/>
    </xf>
    <xf numFmtId="0" fontId="27" fillId="6" borderId="8" xfId="0" applyFont="1" applyFill="1" applyBorder="1" applyAlignment="1" applyProtection="1">
      <alignment horizontal="center" vertical="center" wrapText="1"/>
      <protection locked="0"/>
    </xf>
    <xf numFmtId="0" fontId="27" fillId="6" borderId="10" xfId="0" applyFont="1" applyFill="1" applyBorder="1" applyAlignment="1" applyProtection="1">
      <alignment horizontal="center" vertical="center" wrapText="1"/>
      <protection locked="0"/>
    </xf>
    <xf numFmtId="0" fontId="27" fillId="6" borderId="12" xfId="0" applyFont="1" applyFill="1" applyBorder="1" applyAlignment="1" applyProtection="1">
      <alignment horizontal="center" vertical="center" wrapText="1"/>
      <protection locked="0"/>
    </xf>
    <xf numFmtId="0" fontId="27" fillId="6" borderId="8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 applyProtection="1">
      <alignment horizontal="center" vertical="center"/>
      <protection locked="0"/>
    </xf>
    <xf numFmtId="0" fontId="27" fillId="7" borderId="8" xfId="0" applyFont="1" applyFill="1" applyBorder="1" applyAlignment="1" applyProtection="1">
      <alignment horizontal="center" vertical="center" wrapText="1"/>
      <protection locked="0"/>
    </xf>
    <xf numFmtId="0" fontId="27" fillId="7" borderId="10" xfId="0" applyFont="1" applyFill="1" applyBorder="1" applyAlignment="1" applyProtection="1">
      <alignment horizontal="center" vertical="center" wrapText="1"/>
      <protection locked="0"/>
    </xf>
    <xf numFmtId="0" fontId="27" fillId="7" borderId="12" xfId="0" applyFont="1" applyFill="1" applyBorder="1" applyAlignment="1" applyProtection="1">
      <alignment horizontal="center" vertical="center" wrapText="1"/>
      <protection locked="0"/>
    </xf>
    <xf numFmtId="0" fontId="27" fillId="7" borderId="17" xfId="0" applyFont="1" applyFill="1" applyBorder="1" applyAlignment="1" applyProtection="1">
      <alignment horizontal="center" vertical="center"/>
      <protection locked="0"/>
    </xf>
    <xf numFmtId="0" fontId="27" fillId="7" borderId="18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0" fillId="0" borderId="33" xfId="0" applyBorder="1" applyAlignment="1">
      <alignment horizontal="right" vertical="center" wrapText="1"/>
    </xf>
    <xf numFmtId="0" fontId="9" fillId="0" borderId="34" xfId="0" applyFont="1" applyBorder="1" applyAlignment="1">
      <alignment vertical="center" wrapText="1"/>
    </xf>
    <xf numFmtId="0" fontId="2" fillId="0" borderId="34" xfId="0" applyFont="1" applyBorder="1" applyAlignment="1">
      <alignment vertical="center" wrapText="1"/>
    </xf>
    <xf numFmtId="0" fontId="0" fillId="0" borderId="35" xfId="0" applyBorder="1" applyAlignment="1">
      <alignment horizontal="left" vertical="center" wrapText="1"/>
    </xf>
    <xf numFmtId="0" fontId="2" fillId="0" borderId="36" xfId="0" applyFont="1" applyBorder="1" applyAlignment="1" applyProtection="1">
      <alignment horizontal="left" vertical="center" wrapText="1"/>
    </xf>
    <xf numFmtId="0" fontId="9" fillId="0" borderId="36" xfId="0" applyFont="1" applyBorder="1" applyAlignment="1" applyProtection="1">
      <alignment horizontal="left" vertical="center" wrapText="1"/>
    </xf>
    <xf numFmtId="0" fontId="4" fillId="0" borderId="36" xfId="0" applyFont="1" applyBorder="1" applyAlignment="1" applyProtection="1">
      <alignment horizontal="left" vertical="center" wrapText="1"/>
      <protection locked="0"/>
    </xf>
    <xf numFmtId="0" fontId="8" fillId="0" borderId="36" xfId="0" applyFont="1" applyBorder="1" applyAlignment="1" applyProtection="1">
      <alignment horizontal="left" vertical="center" wrapText="1"/>
      <protection locked="0"/>
    </xf>
    <xf numFmtId="15" fontId="4" fillId="0" borderId="36" xfId="0" applyNumberFormat="1" applyFont="1" applyBorder="1" applyAlignment="1" applyProtection="1">
      <alignment horizontal="left" vertical="center" wrapText="1"/>
      <protection locked="0"/>
    </xf>
    <xf numFmtId="0" fontId="0" fillId="0" borderId="37" xfId="0" applyBorder="1" applyAlignment="1">
      <alignment horizontal="left" vertical="center" wrapText="1"/>
    </xf>
    <xf numFmtId="0" fontId="4" fillId="0" borderId="38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wrapText="1"/>
    </xf>
    <xf numFmtId="0" fontId="1" fillId="0" borderId="0" xfId="0" applyFont="1" applyAlignment="1">
      <alignment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9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 wrapText="1"/>
    </xf>
    <xf numFmtId="0" fontId="9" fillId="2" borderId="32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0" fillId="0" borderId="41" xfId="0" applyBorder="1" applyAlignment="1" applyProtection="1">
      <alignment horizontal="center" vertical="center" wrapText="1"/>
      <protection locked="0"/>
    </xf>
    <xf numFmtId="0" fontId="0" fillId="0" borderId="42" xfId="0" applyBorder="1" applyAlignment="1" applyProtection="1">
      <alignment horizontal="center" vertical="center" wrapText="1"/>
      <protection locked="0"/>
    </xf>
    <xf numFmtId="0" fontId="36" fillId="0" borderId="43" xfId="0" applyFont="1" applyBorder="1" applyAlignment="1">
      <alignment horizontal="center" vertical="center" wrapText="1"/>
    </xf>
    <xf numFmtId="0" fontId="36" fillId="0" borderId="44" xfId="0" applyFont="1" applyBorder="1" applyAlignment="1">
      <alignment horizontal="center" vertical="center" wrapText="1"/>
    </xf>
    <xf numFmtId="0" fontId="36" fillId="0" borderId="41" xfId="0" applyFont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30" fillId="0" borderId="25" xfId="0" applyFont="1" applyFill="1" applyBorder="1" applyAlignment="1">
      <alignment horizontal="center" vertical="center" wrapText="1"/>
    </xf>
    <xf numFmtId="0" fontId="9" fillId="4" borderId="13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27" fillId="0" borderId="8" xfId="0" applyFont="1" applyFill="1" applyBorder="1" applyAlignment="1">
      <alignment horizontal="left" vertical="center" wrapText="1"/>
    </xf>
    <xf numFmtId="0" fontId="31" fillId="0" borderId="1" xfId="0" applyNumberFormat="1" applyFont="1" applyBorder="1" applyAlignment="1" applyProtection="1">
      <alignment horizontal="center" vertical="center"/>
      <protection locked="0"/>
    </xf>
    <xf numFmtId="0" fontId="0" fillId="0" borderId="5" xfId="0" applyNumberFormat="1" applyFont="1" applyBorder="1" applyAlignment="1">
      <alignment horizontal="center" vertical="center"/>
    </xf>
    <xf numFmtId="0" fontId="30" fillId="2" borderId="13" xfId="0" applyFont="1" applyFill="1" applyBorder="1" applyAlignment="1">
      <alignment horizontal="left" vertical="center" wrapText="1"/>
    </xf>
    <xf numFmtId="0" fontId="30" fillId="2" borderId="14" xfId="0" applyFont="1" applyFill="1" applyBorder="1" applyAlignment="1">
      <alignment horizontal="left" vertical="center" wrapText="1"/>
    </xf>
    <xf numFmtId="0" fontId="30" fillId="2" borderId="15" xfId="0" applyFont="1" applyFill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30" fillId="0" borderId="23" xfId="0" applyFont="1" applyFill="1" applyBorder="1" applyAlignment="1">
      <alignment horizontal="center" vertical="center" wrapText="1"/>
    </xf>
    <xf numFmtId="0" fontId="27" fillId="0" borderId="17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right" vertical="center"/>
    </xf>
    <xf numFmtId="0" fontId="33" fillId="0" borderId="0" xfId="0" applyFont="1" applyBorder="1" applyAlignment="1">
      <alignment horizontal="right" vertical="center"/>
    </xf>
    <xf numFmtId="164" fontId="1" fillId="0" borderId="16" xfId="0" applyNumberFormat="1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center" vertical="center"/>
    </xf>
    <xf numFmtId="0" fontId="30" fillId="2" borderId="2" xfId="0" applyFont="1" applyFill="1" applyBorder="1" applyAlignment="1">
      <alignment horizontal="left" vertical="center" wrapText="1"/>
    </xf>
    <xf numFmtId="0" fontId="30" fillId="2" borderId="3" xfId="0" applyFont="1" applyFill="1" applyBorder="1" applyAlignment="1">
      <alignment horizontal="left" vertical="center" wrapText="1"/>
    </xf>
    <xf numFmtId="0" fontId="30" fillId="2" borderId="4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31" fillId="0" borderId="5" xfId="0" applyNumberFormat="1" applyFont="1" applyBorder="1" applyAlignment="1" applyProtection="1">
      <alignment horizontal="center" vertical="center"/>
      <protection locked="0"/>
    </xf>
    <xf numFmtId="0" fontId="0" fillId="0" borderId="24" xfId="0" applyFont="1" applyBorder="1" applyAlignment="1">
      <alignment horizontal="center" vertical="center"/>
    </xf>
    <xf numFmtId="0" fontId="0" fillId="0" borderId="24" xfId="0" applyNumberFormat="1" applyFont="1" applyBorder="1" applyAlignment="1">
      <alignment horizontal="center" vertical="center"/>
    </xf>
    <xf numFmtId="0" fontId="12" fillId="0" borderId="28" xfId="0" applyFont="1" applyBorder="1" applyAlignment="1">
      <alignment horizontal="left" vertical="top"/>
    </xf>
    <xf numFmtId="0" fontId="6" fillId="0" borderId="29" xfId="0" applyFont="1" applyBorder="1" applyAlignment="1">
      <alignment horizontal="left" vertical="top"/>
    </xf>
    <xf numFmtId="0" fontId="6" fillId="0" borderId="30" xfId="0" applyFont="1" applyBorder="1" applyAlignment="1">
      <alignment horizontal="left" vertical="top"/>
    </xf>
    <xf numFmtId="0" fontId="6" fillId="0" borderId="22" xfId="0" applyFont="1" applyBorder="1" applyAlignment="1">
      <alignment horizontal="left" vertical="top"/>
    </xf>
    <xf numFmtId="0" fontId="20" fillId="0" borderId="0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0" fontId="30" fillId="4" borderId="14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right" vertical="center"/>
    </xf>
    <xf numFmtId="0" fontId="1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left" vertical="center"/>
    </xf>
    <xf numFmtId="164" fontId="9" fillId="0" borderId="19" xfId="0" applyNumberFormat="1" applyFont="1" applyBorder="1" applyAlignment="1" applyProtection="1">
      <alignment horizontal="center" vertical="center"/>
      <protection locked="0"/>
    </xf>
    <xf numFmtId="164" fontId="9" fillId="0" borderId="20" xfId="0" applyNumberFormat="1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164" fontId="19" fillId="4" borderId="19" xfId="0" applyNumberFormat="1" applyFont="1" applyFill="1" applyBorder="1" applyAlignment="1">
      <alignment horizontal="center" vertical="center"/>
    </xf>
    <xf numFmtId="164" fontId="19" fillId="4" borderId="20" xfId="0" applyNumberFormat="1" applyFont="1" applyFill="1" applyBorder="1" applyAlignment="1">
      <alignment horizontal="center" vertical="center"/>
    </xf>
    <xf numFmtId="0" fontId="19" fillId="4" borderId="20" xfId="0" applyFont="1" applyFill="1" applyBorder="1" applyAlignment="1">
      <alignment horizontal="center" vertical="center"/>
    </xf>
    <xf numFmtId="0" fontId="19" fillId="4" borderId="21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</cellXfs>
  <cellStyles count="19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Notation!$N$5:$N$7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39328"/>
        <c:axId val="93140864"/>
      </c:barChart>
      <c:catAx>
        <c:axId val="93139328"/>
        <c:scaling>
          <c:orientation val="maxMin"/>
        </c:scaling>
        <c:delete val="1"/>
        <c:axPos val="l"/>
        <c:majorTickMark val="out"/>
        <c:minorTickMark val="none"/>
        <c:tickLblPos val="nextTo"/>
        <c:crossAx val="93140864"/>
        <c:crosses val="autoZero"/>
        <c:auto val="1"/>
        <c:lblAlgn val="ctr"/>
        <c:lblOffset val="100"/>
        <c:noMultiLvlLbl val="0"/>
      </c:catAx>
      <c:valAx>
        <c:axId val="93140864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93139328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Notation!$N$9:$N$13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68768"/>
        <c:axId val="93170304"/>
      </c:barChart>
      <c:catAx>
        <c:axId val="93168768"/>
        <c:scaling>
          <c:orientation val="maxMin"/>
        </c:scaling>
        <c:delete val="1"/>
        <c:axPos val="l"/>
        <c:majorTickMark val="out"/>
        <c:minorTickMark val="none"/>
        <c:tickLblPos val="nextTo"/>
        <c:crossAx val="93170304"/>
        <c:crosses val="autoZero"/>
        <c:auto val="1"/>
        <c:lblAlgn val="ctr"/>
        <c:lblOffset val="100"/>
        <c:noMultiLvlLbl val="0"/>
      </c:catAx>
      <c:valAx>
        <c:axId val="93170304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93168768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Notation!$N$15:$N$18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90016"/>
        <c:axId val="93191552"/>
      </c:barChart>
      <c:catAx>
        <c:axId val="93190016"/>
        <c:scaling>
          <c:orientation val="maxMin"/>
        </c:scaling>
        <c:delete val="1"/>
        <c:axPos val="l"/>
        <c:majorTickMark val="out"/>
        <c:minorTickMark val="none"/>
        <c:tickLblPos val="nextTo"/>
        <c:crossAx val="93191552"/>
        <c:crosses val="autoZero"/>
        <c:auto val="1"/>
        <c:lblAlgn val="ctr"/>
        <c:lblOffset val="100"/>
        <c:noMultiLvlLbl val="0"/>
      </c:catAx>
      <c:valAx>
        <c:axId val="93191552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93190016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Notation!$N$20:$N$21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251648"/>
        <c:axId val="94290304"/>
      </c:barChart>
      <c:catAx>
        <c:axId val="94251648"/>
        <c:scaling>
          <c:orientation val="maxMin"/>
        </c:scaling>
        <c:delete val="1"/>
        <c:axPos val="l"/>
        <c:majorTickMark val="out"/>
        <c:minorTickMark val="none"/>
        <c:tickLblPos val="nextTo"/>
        <c:crossAx val="94290304"/>
        <c:crosses val="autoZero"/>
        <c:auto val="1"/>
        <c:lblAlgn val="ctr"/>
        <c:lblOffset val="100"/>
        <c:noMultiLvlLbl val="0"/>
      </c:catAx>
      <c:valAx>
        <c:axId val="94290304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94251648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360680</xdr:colOff>
      <xdr:row>3</xdr:row>
      <xdr:rowOff>50800</xdr:rowOff>
    </xdr:from>
    <xdr:to>
      <xdr:col>11</xdr:col>
      <xdr:colOff>0</xdr:colOff>
      <xdr:row>7</xdr:row>
      <xdr:rowOff>91440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5080</xdr:colOff>
      <xdr:row>13</xdr:row>
      <xdr:rowOff>121920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13</xdr:row>
      <xdr:rowOff>40640</xdr:rowOff>
    </xdr:from>
    <xdr:to>
      <xdr:col>11</xdr:col>
      <xdr:colOff>5080</xdr:colOff>
      <xdr:row>19</xdr:row>
      <xdr:rowOff>71120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17</xdr:row>
      <xdr:rowOff>182880</xdr:rowOff>
    </xdr:from>
    <xdr:to>
      <xdr:col>11</xdr:col>
      <xdr:colOff>5080</xdr:colOff>
      <xdr:row>22</xdr:row>
      <xdr:rowOff>10160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taraud/Library/Containers/com.apple.mail/Data/Library/Mail%20Downloads/8B205DDA-3867-448B-9EB0-EABA5E70FDC8/STI2D/Grille%20&#233;valuation%20STI2D%20Soutenance%20Projet%20Ttes%20op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entification"/>
      <sheetName val="Notation"/>
    </sheetNames>
    <sheetDataSet>
      <sheetData sheetId="0">
        <row r="2">
          <cell r="B2" t="str">
            <v>Baccalauréat technologique "Sciences et Technologie Industrielles du Développement Durable"</v>
          </cell>
        </row>
        <row r="3">
          <cell r="B3" t="str">
            <v>Toutes options</v>
          </cell>
        </row>
        <row r="5">
          <cell r="B5">
            <v>6</v>
          </cell>
        </row>
      </sheetData>
      <sheetData sheetId="1">
        <row r="5">
          <cell r="O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41"/>
  <sheetViews>
    <sheetView topLeftCell="A4" workbookViewId="0">
      <selection activeCell="B8" sqref="B8"/>
    </sheetView>
  </sheetViews>
  <sheetFormatPr baseColWidth="10" defaultRowHeight="15.75"/>
  <cols>
    <col min="1" max="1" width="17.375" style="82" customWidth="1"/>
    <col min="2" max="2" width="96.5" style="82" customWidth="1"/>
    <col min="3" max="3" width="3.875" style="82" customWidth="1"/>
    <col min="4" max="256" width="11" style="82"/>
    <col min="257" max="257" width="16.5" style="82" bestFit="1" customWidth="1"/>
    <col min="258" max="258" width="96.5" style="82" customWidth="1"/>
    <col min="259" max="259" width="3.875" style="82" customWidth="1"/>
    <col min="260" max="512" width="11" style="82"/>
    <col min="513" max="513" width="16.5" style="82" bestFit="1" customWidth="1"/>
    <col min="514" max="514" width="96.5" style="82" customWidth="1"/>
    <col min="515" max="515" width="3.875" style="82" customWidth="1"/>
    <col min="516" max="768" width="11" style="82"/>
    <col min="769" max="769" width="16.5" style="82" bestFit="1" customWidth="1"/>
    <col min="770" max="770" width="96.5" style="82" customWidth="1"/>
    <col min="771" max="771" width="3.875" style="82" customWidth="1"/>
    <col min="772" max="1024" width="11" style="82"/>
    <col min="1025" max="1025" width="16.5" style="82" bestFit="1" customWidth="1"/>
    <col min="1026" max="1026" width="96.5" style="82" customWidth="1"/>
    <col min="1027" max="1027" width="3.875" style="82" customWidth="1"/>
    <col min="1028" max="1280" width="11" style="82"/>
    <col min="1281" max="1281" width="16.5" style="82" bestFit="1" customWidth="1"/>
    <col min="1282" max="1282" width="96.5" style="82" customWidth="1"/>
    <col min="1283" max="1283" width="3.875" style="82" customWidth="1"/>
    <col min="1284" max="1536" width="11" style="82"/>
    <col min="1537" max="1537" width="16.5" style="82" bestFit="1" customWidth="1"/>
    <col min="1538" max="1538" width="96.5" style="82" customWidth="1"/>
    <col min="1539" max="1539" width="3.875" style="82" customWidth="1"/>
    <col min="1540" max="1792" width="11" style="82"/>
    <col min="1793" max="1793" width="16.5" style="82" bestFit="1" customWidth="1"/>
    <col min="1794" max="1794" width="96.5" style="82" customWidth="1"/>
    <col min="1795" max="1795" width="3.875" style="82" customWidth="1"/>
    <col min="1796" max="2048" width="11" style="82"/>
    <col min="2049" max="2049" width="16.5" style="82" bestFit="1" customWidth="1"/>
    <col min="2050" max="2050" width="96.5" style="82" customWidth="1"/>
    <col min="2051" max="2051" width="3.875" style="82" customWidth="1"/>
    <col min="2052" max="2304" width="11" style="82"/>
    <col min="2305" max="2305" width="16.5" style="82" bestFit="1" customWidth="1"/>
    <col min="2306" max="2306" width="96.5" style="82" customWidth="1"/>
    <col min="2307" max="2307" width="3.875" style="82" customWidth="1"/>
    <col min="2308" max="2560" width="11" style="82"/>
    <col min="2561" max="2561" width="16.5" style="82" bestFit="1" customWidth="1"/>
    <col min="2562" max="2562" width="96.5" style="82" customWidth="1"/>
    <col min="2563" max="2563" width="3.875" style="82" customWidth="1"/>
    <col min="2564" max="2816" width="11" style="82"/>
    <col min="2817" max="2817" width="16.5" style="82" bestFit="1" customWidth="1"/>
    <col min="2818" max="2818" width="96.5" style="82" customWidth="1"/>
    <col min="2819" max="2819" width="3.875" style="82" customWidth="1"/>
    <col min="2820" max="3072" width="11" style="82"/>
    <col min="3073" max="3073" width="16.5" style="82" bestFit="1" customWidth="1"/>
    <col min="3074" max="3074" width="96.5" style="82" customWidth="1"/>
    <col min="3075" max="3075" width="3.875" style="82" customWidth="1"/>
    <col min="3076" max="3328" width="11" style="82"/>
    <col min="3329" max="3329" width="16.5" style="82" bestFit="1" customWidth="1"/>
    <col min="3330" max="3330" width="96.5" style="82" customWidth="1"/>
    <col min="3331" max="3331" width="3.875" style="82" customWidth="1"/>
    <col min="3332" max="3584" width="11" style="82"/>
    <col min="3585" max="3585" width="16.5" style="82" bestFit="1" customWidth="1"/>
    <col min="3586" max="3586" width="96.5" style="82" customWidth="1"/>
    <col min="3587" max="3587" width="3.875" style="82" customWidth="1"/>
    <col min="3588" max="3840" width="11" style="82"/>
    <col min="3841" max="3841" width="16.5" style="82" bestFit="1" customWidth="1"/>
    <col min="3842" max="3842" width="96.5" style="82" customWidth="1"/>
    <col min="3843" max="3843" width="3.875" style="82" customWidth="1"/>
    <col min="3844" max="4096" width="11" style="82"/>
    <col min="4097" max="4097" width="16.5" style="82" bestFit="1" customWidth="1"/>
    <col min="4098" max="4098" width="96.5" style="82" customWidth="1"/>
    <col min="4099" max="4099" width="3.875" style="82" customWidth="1"/>
    <col min="4100" max="4352" width="11" style="82"/>
    <col min="4353" max="4353" width="16.5" style="82" bestFit="1" customWidth="1"/>
    <col min="4354" max="4354" width="96.5" style="82" customWidth="1"/>
    <col min="4355" max="4355" width="3.875" style="82" customWidth="1"/>
    <col min="4356" max="4608" width="11" style="82"/>
    <col min="4609" max="4609" width="16.5" style="82" bestFit="1" customWidth="1"/>
    <col min="4610" max="4610" width="96.5" style="82" customWidth="1"/>
    <col min="4611" max="4611" width="3.875" style="82" customWidth="1"/>
    <col min="4612" max="4864" width="11" style="82"/>
    <col min="4865" max="4865" width="16.5" style="82" bestFit="1" customWidth="1"/>
    <col min="4866" max="4866" width="96.5" style="82" customWidth="1"/>
    <col min="4867" max="4867" width="3.875" style="82" customWidth="1"/>
    <col min="4868" max="5120" width="11" style="82"/>
    <col min="5121" max="5121" width="16.5" style="82" bestFit="1" customWidth="1"/>
    <col min="5122" max="5122" width="96.5" style="82" customWidth="1"/>
    <col min="5123" max="5123" width="3.875" style="82" customWidth="1"/>
    <col min="5124" max="5376" width="11" style="82"/>
    <col min="5377" max="5377" width="16.5" style="82" bestFit="1" customWidth="1"/>
    <col min="5378" max="5378" width="96.5" style="82" customWidth="1"/>
    <col min="5379" max="5379" width="3.875" style="82" customWidth="1"/>
    <col min="5380" max="5632" width="11" style="82"/>
    <col min="5633" max="5633" width="16.5" style="82" bestFit="1" customWidth="1"/>
    <col min="5634" max="5634" width="96.5" style="82" customWidth="1"/>
    <col min="5635" max="5635" width="3.875" style="82" customWidth="1"/>
    <col min="5636" max="5888" width="11" style="82"/>
    <col min="5889" max="5889" width="16.5" style="82" bestFit="1" customWidth="1"/>
    <col min="5890" max="5890" width="96.5" style="82" customWidth="1"/>
    <col min="5891" max="5891" width="3.875" style="82" customWidth="1"/>
    <col min="5892" max="6144" width="11" style="82"/>
    <col min="6145" max="6145" width="16.5" style="82" bestFit="1" customWidth="1"/>
    <col min="6146" max="6146" width="96.5" style="82" customWidth="1"/>
    <col min="6147" max="6147" width="3.875" style="82" customWidth="1"/>
    <col min="6148" max="6400" width="11" style="82"/>
    <col min="6401" max="6401" width="16.5" style="82" bestFit="1" customWidth="1"/>
    <col min="6402" max="6402" width="96.5" style="82" customWidth="1"/>
    <col min="6403" max="6403" width="3.875" style="82" customWidth="1"/>
    <col min="6404" max="6656" width="11" style="82"/>
    <col min="6657" max="6657" width="16.5" style="82" bestFit="1" customWidth="1"/>
    <col min="6658" max="6658" width="96.5" style="82" customWidth="1"/>
    <col min="6659" max="6659" width="3.875" style="82" customWidth="1"/>
    <col min="6660" max="6912" width="11" style="82"/>
    <col min="6913" max="6913" width="16.5" style="82" bestFit="1" customWidth="1"/>
    <col min="6914" max="6914" width="96.5" style="82" customWidth="1"/>
    <col min="6915" max="6915" width="3.875" style="82" customWidth="1"/>
    <col min="6916" max="7168" width="11" style="82"/>
    <col min="7169" max="7169" width="16.5" style="82" bestFit="1" customWidth="1"/>
    <col min="7170" max="7170" width="96.5" style="82" customWidth="1"/>
    <col min="7171" max="7171" width="3.875" style="82" customWidth="1"/>
    <col min="7172" max="7424" width="11" style="82"/>
    <col min="7425" max="7425" width="16.5" style="82" bestFit="1" customWidth="1"/>
    <col min="7426" max="7426" width="96.5" style="82" customWidth="1"/>
    <col min="7427" max="7427" width="3.875" style="82" customWidth="1"/>
    <col min="7428" max="7680" width="11" style="82"/>
    <col min="7681" max="7681" width="16.5" style="82" bestFit="1" customWidth="1"/>
    <col min="7682" max="7682" width="96.5" style="82" customWidth="1"/>
    <col min="7683" max="7683" width="3.875" style="82" customWidth="1"/>
    <col min="7684" max="7936" width="11" style="82"/>
    <col min="7937" max="7937" width="16.5" style="82" bestFit="1" customWidth="1"/>
    <col min="7938" max="7938" width="96.5" style="82" customWidth="1"/>
    <col min="7939" max="7939" width="3.875" style="82" customWidth="1"/>
    <col min="7940" max="8192" width="11" style="82"/>
    <col min="8193" max="8193" width="16.5" style="82" bestFit="1" customWidth="1"/>
    <col min="8194" max="8194" width="96.5" style="82" customWidth="1"/>
    <col min="8195" max="8195" width="3.875" style="82" customWidth="1"/>
    <col min="8196" max="8448" width="11" style="82"/>
    <col min="8449" max="8449" width="16.5" style="82" bestFit="1" customWidth="1"/>
    <col min="8450" max="8450" width="96.5" style="82" customWidth="1"/>
    <col min="8451" max="8451" width="3.875" style="82" customWidth="1"/>
    <col min="8452" max="8704" width="11" style="82"/>
    <col min="8705" max="8705" width="16.5" style="82" bestFit="1" customWidth="1"/>
    <col min="8706" max="8706" width="96.5" style="82" customWidth="1"/>
    <col min="8707" max="8707" width="3.875" style="82" customWidth="1"/>
    <col min="8708" max="8960" width="11" style="82"/>
    <col min="8961" max="8961" width="16.5" style="82" bestFit="1" customWidth="1"/>
    <col min="8962" max="8962" width="96.5" style="82" customWidth="1"/>
    <col min="8963" max="8963" width="3.875" style="82" customWidth="1"/>
    <col min="8964" max="9216" width="11" style="82"/>
    <col min="9217" max="9217" width="16.5" style="82" bestFit="1" customWidth="1"/>
    <col min="9218" max="9218" width="96.5" style="82" customWidth="1"/>
    <col min="9219" max="9219" width="3.875" style="82" customWidth="1"/>
    <col min="9220" max="9472" width="11" style="82"/>
    <col min="9473" max="9473" width="16.5" style="82" bestFit="1" customWidth="1"/>
    <col min="9474" max="9474" width="96.5" style="82" customWidth="1"/>
    <col min="9475" max="9475" width="3.875" style="82" customWidth="1"/>
    <col min="9476" max="9728" width="11" style="82"/>
    <col min="9729" max="9729" width="16.5" style="82" bestFit="1" customWidth="1"/>
    <col min="9730" max="9730" width="96.5" style="82" customWidth="1"/>
    <col min="9731" max="9731" width="3.875" style="82" customWidth="1"/>
    <col min="9732" max="9984" width="11" style="82"/>
    <col min="9985" max="9985" width="16.5" style="82" bestFit="1" customWidth="1"/>
    <col min="9986" max="9986" width="96.5" style="82" customWidth="1"/>
    <col min="9987" max="9987" width="3.875" style="82" customWidth="1"/>
    <col min="9988" max="10240" width="11" style="82"/>
    <col min="10241" max="10241" width="16.5" style="82" bestFit="1" customWidth="1"/>
    <col min="10242" max="10242" width="96.5" style="82" customWidth="1"/>
    <col min="10243" max="10243" width="3.875" style="82" customWidth="1"/>
    <col min="10244" max="10496" width="11" style="82"/>
    <col min="10497" max="10497" width="16.5" style="82" bestFit="1" customWidth="1"/>
    <col min="10498" max="10498" width="96.5" style="82" customWidth="1"/>
    <col min="10499" max="10499" width="3.875" style="82" customWidth="1"/>
    <col min="10500" max="10752" width="11" style="82"/>
    <col min="10753" max="10753" width="16.5" style="82" bestFit="1" customWidth="1"/>
    <col min="10754" max="10754" width="96.5" style="82" customWidth="1"/>
    <col min="10755" max="10755" width="3.875" style="82" customWidth="1"/>
    <col min="10756" max="11008" width="11" style="82"/>
    <col min="11009" max="11009" width="16.5" style="82" bestFit="1" customWidth="1"/>
    <col min="11010" max="11010" width="96.5" style="82" customWidth="1"/>
    <col min="11011" max="11011" width="3.875" style="82" customWidth="1"/>
    <col min="11012" max="11264" width="11" style="82"/>
    <col min="11265" max="11265" width="16.5" style="82" bestFit="1" customWidth="1"/>
    <col min="11266" max="11266" width="96.5" style="82" customWidth="1"/>
    <col min="11267" max="11267" width="3.875" style="82" customWidth="1"/>
    <col min="11268" max="11520" width="11" style="82"/>
    <col min="11521" max="11521" width="16.5" style="82" bestFit="1" customWidth="1"/>
    <col min="11522" max="11522" width="96.5" style="82" customWidth="1"/>
    <col min="11523" max="11523" width="3.875" style="82" customWidth="1"/>
    <col min="11524" max="11776" width="11" style="82"/>
    <col min="11777" max="11777" width="16.5" style="82" bestFit="1" customWidth="1"/>
    <col min="11778" max="11778" width="96.5" style="82" customWidth="1"/>
    <col min="11779" max="11779" width="3.875" style="82" customWidth="1"/>
    <col min="11780" max="12032" width="11" style="82"/>
    <col min="12033" max="12033" width="16.5" style="82" bestFit="1" customWidth="1"/>
    <col min="12034" max="12034" width="96.5" style="82" customWidth="1"/>
    <col min="12035" max="12035" width="3.875" style="82" customWidth="1"/>
    <col min="12036" max="12288" width="11" style="82"/>
    <col min="12289" max="12289" width="16.5" style="82" bestFit="1" customWidth="1"/>
    <col min="12290" max="12290" width="96.5" style="82" customWidth="1"/>
    <col min="12291" max="12291" width="3.875" style="82" customWidth="1"/>
    <col min="12292" max="12544" width="11" style="82"/>
    <col min="12545" max="12545" width="16.5" style="82" bestFit="1" customWidth="1"/>
    <col min="12546" max="12546" width="96.5" style="82" customWidth="1"/>
    <col min="12547" max="12547" width="3.875" style="82" customWidth="1"/>
    <col min="12548" max="12800" width="11" style="82"/>
    <col min="12801" max="12801" width="16.5" style="82" bestFit="1" customWidth="1"/>
    <col min="12802" max="12802" width="96.5" style="82" customWidth="1"/>
    <col min="12803" max="12803" width="3.875" style="82" customWidth="1"/>
    <col min="12804" max="13056" width="11" style="82"/>
    <col min="13057" max="13057" width="16.5" style="82" bestFit="1" customWidth="1"/>
    <col min="13058" max="13058" width="96.5" style="82" customWidth="1"/>
    <col min="13059" max="13059" width="3.875" style="82" customWidth="1"/>
    <col min="13060" max="13312" width="11" style="82"/>
    <col min="13313" max="13313" width="16.5" style="82" bestFit="1" customWidth="1"/>
    <col min="13314" max="13314" width="96.5" style="82" customWidth="1"/>
    <col min="13315" max="13315" width="3.875" style="82" customWidth="1"/>
    <col min="13316" max="13568" width="11" style="82"/>
    <col min="13569" max="13569" width="16.5" style="82" bestFit="1" customWidth="1"/>
    <col min="13570" max="13570" width="96.5" style="82" customWidth="1"/>
    <col min="13571" max="13571" width="3.875" style="82" customWidth="1"/>
    <col min="13572" max="13824" width="11" style="82"/>
    <col min="13825" max="13825" width="16.5" style="82" bestFit="1" customWidth="1"/>
    <col min="13826" max="13826" width="96.5" style="82" customWidth="1"/>
    <col min="13827" max="13827" width="3.875" style="82" customWidth="1"/>
    <col min="13828" max="14080" width="11" style="82"/>
    <col min="14081" max="14081" width="16.5" style="82" bestFit="1" customWidth="1"/>
    <col min="14082" max="14082" width="96.5" style="82" customWidth="1"/>
    <col min="14083" max="14083" width="3.875" style="82" customWidth="1"/>
    <col min="14084" max="14336" width="11" style="82"/>
    <col min="14337" max="14337" width="16.5" style="82" bestFit="1" customWidth="1"/>
    <col min="14338" max="14338" width="96.5" style="82" customWidth="1"/>
    <col min="14339" max="14339" width="3.875" style="82" customWidth="1"/>
    <col min="14340" max="14592" width="11" style="82"/>
    <col min="14593" max="14593" width="16.5" style="82" bestFit="1" customWidth="1"/>
    <col min="14594" max="14594" width="96.5" style="82" customWidth="1"/>
    <col min="14595" max="14595" width="3.875" style="82" customWidth="1"/>
    <col min="14596" max="14848" width="11" style="82"/>
    <col min="14849" max="14849" width="16.5" style="82" bestFit="1" customWidth="1"/>
    <col min="14850" max="14850" width="96.5" style="82" customWidth="1"/>
    <col min="14851" max="14851" width="3.875" style="82" customWidth="1"/>
    <col min="14852" max="15104" width="11" style="82"/>
    <col min="15105" max="15105" width="16.5" style="82" bestFit="1" customWidth="1"/>
    <col min="15106" max="15106" width="96.5" style="82" customWidth="1"/>
    <col min="15107" max="15107" width="3.875" style="82" customWidth="1"/>
    <col min="15108" max="15360" width="11" style="82"/>
    <col min="15361" max="15361" width="16.5" style="82" bestFit="1" customWidth="1"/>
    <col min="15362" max="15362" width="96.5" style="82" customWidth="1"/>
    <col min="15363" max="15363" width="3.875" style="82" customWidth="1"/>
    <col min="15364" max="15616" width="11" style="82"/>
    <col min="15617" max="15617" width="16.5" style="82" bestFit="1" customWidth="1"/>
    <col min="15618" max="15618" width="96.5" style="82" customWidth="1"/>
    <col min="15619" max="15619" width="3.875" style="82" customWidth="1"/>
    <col min="15620" max="15872" width="11" style="82"/>
    <col min="15873" max="15873" width="16.5" style="82" bestFit="1" customWidth="1"/>
    <col min="15874" max="15874" width="96.5" style="82" customWidth="1"/>
    <col min="15875" max="15875" width="3.875" style="82" customWidth="1"/>
    <col min="15876" max="16128" width="11" style="82"/>
    <col min="16129" max="16129" width="16.5" style="82" bestFit="1" customWidth="1"/>
    <col min="16130" max="16130" width="96.5" style="82" customWidth="1"/>
    <col min="16131" max="16131" width="3.875" style="82" customWidth="1"/>
    <col min="16132" max="16384" width="11" style="82"/>
  </cols>
  <sheetData>
    <row r="1" spans="1:3" ht="16.5" thickTop="1">
      <c r="A1" s="104" t="s">
        <v>53</v>
      </c>
      <c r="B1" s="105"/>
    </row>
    <row r="2" spans="1:3">
      <c r="A2" s="83" t="s">
        <v>54</v>
      </c>
      <c r="B2" s="84" t="s">
        <v>55</v>
      </c>
    </row>
    <row r="3" spans="1:3">
      <c r="A3" s="83" t="s">
        <v>56</v>
      </c>
      <c r="B3" s="85" t="s">
        <v>57</v>
      </c>
    </row>
    <row r="4" spans="1:3">
      <c r="A4" s="86" t="s">
        <v>58</v>
      </c>
      <c r="B4" s="87" t="s">
        <v>71</v>
      </c>
    </row>
    <row r="5" spans="1:3">
      <c r="A5" s="86" t="s">
        <v>59</v>
      </c>
      <c r="B5" s="88">
        <v>6</v>
      </c>
    </row>
    <row r="6" spans="1:3">
      <c r="A6" s="86" t="s">
        <v>60</v>
      </c>
      <c r="B6" s="89"/>
    </row>
    <row r="7" spans="1:3">
      <c r="A7" s="86" t="s">
        <v>61</v>
      </c>
      <c r="B7" s="89"/>
    </row>
    <row r="8" spans="1:3">
      <c r="A8" s="86" t="s">
        <v>62</v>
      </c>
      <c r="B8" s="90"/>
    </row>
    <row r="9" spans="1:3" ht="31.5">
      <c r="A9" s="86" t="s">
        <v>63</v>
      </c>
      <c r="B9" s="90"/>
    </row>
    <row r="10" spans="1:3" ht="31.5">
      <c r="A10" s="86" t="s">
        <v>64</v>
      </c>
      <c r="B10" s="91"/>
    </row>
    <row r="11" spans="1:3" ht="32.25" thickBot="1">
      <c r="A11" s="92" t="s">
        <v>65</v>
      </c>
      <c r="B11" s="93"/>
    </row>
    <row r="12" spans="1:3">
      <c r="A12" s="100" t="s">
        <v>66</v>
      </c>
      <c r="B12" s="106"/>
    </row>
    <row r="13" spans="1:3" ht="16.5" thickBot="1">
      <c r="A13" s="107" t="s">
        <v>67</v>
      </c>
      <c r="B13" s="108"/>
    </row>
    <row r="14" spans="1:3">
      <c r="A14" s="100" t="s">
        <v>68</v>
      </c>
      <c r="B14" s="106"/>
      <c r="C14" s="94"/>
    </row>
    <row r="15" spans="1:3">
      <c r="A15" s="109"/>
      <c r="B15" s="110"/>
      <c r="C15" s="94"/>
    </row>
    <row r="16" spans="1:3">
      <c r="A16" s="109"/>
      <c r="B16" s="110"/>
      <c r="C16" s="94"/>
    </row>
    <row r="17" spans="1:9">
      <c r="A17" s="109"/>
      <c r="B17" s="110"/>
      <c r="C17" s="94"/>
    </row>
    <row r="18" spans="1:9">
      <c r="A18" s="109"/>
      <c r="B18" s="110"/>
      <c r="C18" s="94"/>
    </row>
    <row r="19" spans="1:9">
      <c r="A19" s="109"/>
      <c r="B19" s="110"/>
      <c r="C19" s="94"/>
    </row>
    <row r="20" spans="1:9">
      <c r="A20" s="109"/>
      <c r="B20" s="110"/>
      <c r="C20" s="94"/>
    </row>
    <row r="21" spans="1:9">
      <c r="A21" s="109"/>
      <c r="B21" s="110"/>
      <c r="C21" s="94"/>
    </row>
    <row r="22" spans="1:9" ht="16.5" thickBot="1">
      <c r="A22" s="111"/>
      <c r="B22" s="112"/>
      <c r="C22" s="94"/>
    </row>
    <row r="23" spans="1:9" s="95" customFormat="1">
      <c r="A23" s="100" t="s">
        <v>69</v>
      </c>
      <c r="B23" s="106"/>
      <c r="C23" s="94"/>
      <c r="D23" s="94"/>
      <c r="E23" s="94"/>
      <c r="F23" s="94"/>
      <c r="G23" s="94"/>
      <c r="H23" s="94"/>
      <c r="I23" s="94"/>
    </row>
    <row r="24" spans="1:9" s="95" customFormat="1">
      <c r="A24" s="96"/>
      <c r="B24" s="97"/>
      <c r="C24" s="94"/>
      <c r="D24" s="94"/>
      <c r="E24" s="94"/>
      <c r="F24" s="94"/>
      <c r="G24" s="94"/>
      <c r="H24" s="94"/>
      <c r="I24" s="94"/>
    </row>
    <row r="25" spans="1:9" s="95" customFormat="1">
      <c r="A25" s="96"/>
      <c r="B25" s="97"/>
      <c r="C25" s="94"/>
      <c r="D25" s="94"/>
      <c r="E25" s="94"/>
      <c r="F25" s="94"/>
      <c r="G25" s="94"/>
      <c r="H25" s="94"/>
      <c r="I25" s="94"/>
    </row>
    <row r="26" spans="1:9" s="95" customFormat="1">
      <c r="A26" s="96"/>
      <c r="B26" s="97"/>
      <c r="C26" s="94"/>
      <c r="D26" s="94"/>
      <c r="E26" s="94"/>
      <c r="F26" s="94"/>
      <c r="G26" s="94"/>
      <c r="H26" s="94"/>
      <c r="I26" s="94"/>
    </row>
    <row r="27" spans="1:9" s="95" customFormat="1">
      <c r="A27" s="96"/>
      <c r="B27" s="97"/>
      <c r="C27" s="94"/>
      <c r="D27" s="94"/>
      <c r="E27" s="94"/>
      <c r="F27" s="94"/>
      <c r="G27" s="94"/>
      <c r="H27" s="94"/>
      <c r="I27" s="94"/>
    </row>
    <row r="28" spans="1:9" s="95" customFormat="1">
      <c r="A28" s="96"/>
      <c r="B28" s="97"/>
      <c r="D28" s="94"/>
      <c r="E28" s="94"/>
      <c r="F28" s="94"/>
      <c r="G28" s="94"/>
      <c r="H28" s="94"/>
      <c r="I28" s="94"/>
    </row>
    <row r="29" spans="1:9" s="95" customFormat="1">
      <c r="A29" s="96"/>
      <c r="B29" s="97"/>
      <c r="D29" s="94"/>
      <c r="E29" s="94"/>
      <c r="F29" s="94"/>
      <c r="G29" s="94"/>
      <c r="H29" s="94"/>
      <c r="I29" s="94"/>
    </row>
    <row r="30" spans="1:9" s="95" customFormat="1">
      <c r="A30" s="96"/>
      <c r="B30" s="97"/>
      <c r="D30" s="94"/>
      <c r="E30" s="94"/>
      <c r="F30" s="94"/>
      <c r="G30" s="94"/>
      <c r="H30" s="94"/>
      <c r="I30" s="94"/>
    </row>
    <row r="31" spans="1:9" s="95" customFormat="1" ht="16.5" thickBot="1">
      <c r="A31" s="98"/>
      <c r="B31" s="99"/>
      <c r="D31" s="94"/>
      <c r="E31" s="94"/>
      <c r="F31" s="94"/>
      <c r="G31" s="94"/>
      <c r="H31" s="94"/>
      <c r="I31" s="94"/>
    </row>
    <row r="32" spans="1:9" s="95" customFormat="1">
      <c r="A32" s="100" t="s">
        <v>70</v>
      </c>
      <c r="B32" s="101"/>
      <c r="D32" s="94"/>
      <c r="E32" s="94"/>
      <c r="F32" s="94"/>
      <c r="G32" s="94"/>
      <c r="H32" s="94"/>
      <c r="I32" s="94"/>
    </row>
    <row r="33" spans="1:9" s="95" customFormat="1">
      <c r="A33" s="96"/>
      <c r="B33" s="97"/>
      <c r="D33" s="94"/>
      <c r="E33" s="94"/>
      <c r="F33" s="94"/>
      <c r="G33" s="94"/>
      <c r="H33" s="94"/>
      <c r="I33" s="94"/>
    </row>
    <row r="34" spans="1:9" s="95" customFormat="1">
      <c r="A34" s="96"/>
      <c r="B34" s="97"/>
      <c r="D34" s="94"/>
      <c r="E34" s="94"/>
      <c r="F34" s="94"/>
      <c r="G34" s="94"/>
      <c r="H34" s="94"/>
      <c r="I34" s="94"/>
    </row>
    <row r="35" spans="1:9" s="95" customFormat="1">
      <c r="A35" s="96"/>
      <c r="B35" s="97"/>
      <c r="D35" s="94"/>
      <c r="E35" s="94"/>
      <c r="F35" s="94"/>
      <c r="G35" s="94"/>
      <c r="H35" s="94"/>
      <c r="I35" s="94"/>
    </row>
    <row r="36" spans="1:9" s="95" customFormat="1">
      <c r="A36" s="96"/>
      <c r="B36" s="97"/>
      <c r="D36" s="94"/>
      <c r="E36" s="94"/>
      <c r="F36" s="94"/>
      <c r="G36" s="94"/>
      <c r="H36" s="94"/>
      <c r="I36" s="94"/>
    </row>
    <row r="37" spans="1:9" s="95" customFormat="1">
      <c r="A37" s="96"/>
      <c r="B37" s="97"/>
      <c r="D37" s="94"/>
      <c r="E37" s="94"/>
      <c r="F37" s="94"/>
      <c r="G37" s="94"/>
      <c r="H37" s="94"/>
      <c r="I37" s="94"/>
    </row>
    <row r="38" spans="1:9" s="95" customFormat="1">
      <c r="A38" s="96"/>
      <c r="B38" s="97"/>
      <c r="D38" s="94"/>
      <c r="E38" s="94"/>
      <c r="F38" s="94"/>
      <c r="G38" s="94"/>
      <c r="H38" s="94"/>
      <c r="I38" s="94"/>
    </row>
    <row r="39" spans="1:9" s="95" customFormat="1">
      <c r="A39" s="96"/>
      <c r="B39" s="97"/>
      <c r="D39" s="94"/>
      <c r="E39" s="94"/>
      <c r="F39" s="94"/>
      <c r="G39" s="94"/>
      <c r="H39" s="94"/>
      <c r="I39" s="94"/>
    </row>
    <row r="40" spans="1:9" s="95" customFormat="1" ht="16.5" thickBot="1">
      <c r="A40" s="102"/>
      <c r="B40" s="103"/>
      <c r="D40" s="94"/>
      <c r="E40" s="94"/>
      <c r="F40" s="94"/>
      <c r="G40" s="94"/>
      <c r="H40" s="94"/>
      <c r="I40" s="94"/>
    </row>
    <row r="41" spans="1:9" ht="16.5" thickTop="1"/>
  </sheetData>
  <mergeCells count="9">
    <mergeCell ref="A24:B31"/>
    <mergeCell ref="A32:B32"/>
    <mergeCell ref="A33:B40"/>
    <mergeCell ref="A1:B1"/>
    <mergeCell ref="A12:B12"/>
    <mergeCell ref="A13:B13"/>
    <mergeCell ref="A14:B14"/>
    <mergeCell ref="A15:B22"/>
    <mergeCell ref="A23:B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>
    <pageSetUpPr fitToPage="1"/>
  </sheetPr>
  <dimension ref="A1:Z43"/>
  <sheetViews>
    <sheetView tabSelected="1" zoomScale="75" zoomScaleNormal="75" workbookViewId="0">
      <selection activeCell="G6" sqref="G6"/>
    </sheetView>
  </sheetViews>
  <sheetFormatPr baseColWidth="10" defaultColWidth="11.5" defaultRowHeight="12.75"/>
  <cols>
    <col min="1" max="1" width="6.875" style="1" bestFit="1" customWidth="1"/>
    <col min="2" max="2" width="54.625" style="2" customWidth="1"/>
    <col min="3" max="3" width="102.125" style="3" customWidth="1"/>
    <col min="4" max="4" width="1.125" style="18" customWidth="1"/>
    <col min="5" max="8" width="3.625" style="6" customWidth="1"/>
    <col min="9" max="9" width="3.875" style="7" customWidth="1"/>
    <col min="10" max="10" width="4.875" style="8" customWidth="1"/>
    <col min="11" max="11" width="18" style="9" customWidth="1"/>
    <col min="12" max="12" width="8.625" style="27" customWidth="1"/>
    <col min="13" max="13" width="2.125" style="57" bestFit="1" customWidth="1"/>
    <col min="14" max="14" width="8.5" style="58" bestFit="1" customWidth="1"/>
    <col min="15" max="15" width="11.5" style="11"/>
    <col min="16" max="26" width="11.5" style="10"/>
    <col min="27" max="16384" width="11.5" style="3"/>
  </cols>
  <sheetData>
    <row r="1" spans="1:26" s="61" customFormat="1" ht="18" customHeight="1">
      <c r="A1" s="59" t="s">
        <v>49</v>
      </c>
      <c r="B1" s="60"/>
      <c r="D1" s="62" t="str">
        <f>[1]Identification!B3</f>
        <v>Toutes options</v>
      </c>
      <c r="E1" s="63"/>
      <c r="F1" s="5" t="s">
        <v>51</v>
      </c>
      <c r="G1" s="26"/>
      <c r="H1" s="26"/>
      <c r="I1" s="64"/>
      <c r="J1" s="65"/>
      <c r="K1" s="126" t="s">
        <v>50</v>
      </c>
      <c r="L1" s="127"/>
      <c r="M1" s="68"/>
      <c r="N1" s="69"/>
    </row>
    <row r="2" spans="1:26">
      <c r="A2" s="3"/>
      <c r="B2" s="3"/>
      <c r="C2" s="12"/>
      <c r="D2" s="134"/>
      <c r="E2" s="134"/>
      <c r="F2" s="134"/>
      <c r="G2" s="134"/>
      <c r="H2" s="134"/>
      <c r="J2" s="66" t="s">
        <v>0</v>
      </c>
      <c r="K2" s="6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3.5" thickBot="1">
      <c r="A3" s="135" t="s">
        <v>1</v>
      </c>
      <c r="B3" s="135"/>
      <c r="C3" s="13" t="s">
        <v>2</v>
      </c>
      <c r="D3" s="14"/>
      <c r="E3" s="15">
        <v>0</v>
      </c>
      <c r="F3" s="15">
        <v>1</v>
      </c>
      <c r="G3" s="15">
        <v>2</v>
      </c>
      <c r="H3" s="15">
        <v>3</v>
      </c>
      <c r="J3" s="52" t="s">
        <v>3</v>
      </c>
      <c r="L3" s="27" t="s">
        <v>4</v>
      </c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>
      <c r="A4" s="136" t="s">
        <v>5</v>
      </c>
      <c r="B4" s="137"/>
      <c r="C4" s="137"/>
      <c r="D4" s="137"/>
      <c r="E4" s="137"/>
      <c r="F4" s="137"/>
      <c r="G4" s="137"/>
      <c r="H4" s="138"/>
      <c r="I4" s="16"/>
      <c r="J4" s="53">
        <v>0.2</v>
      </c>
      <c r="L4" s="55" t="e">
        <f>SUMPRODUCT(L5:L7,M5:M7)/SUMPRODUCT(J5:J7,M5:M7)</f>
        <v>#DIV/0!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95" customHeight="1">
      <c r="A5" s="114" t="s">
        <v>6</v>
      </c>
      <c r="B5" s="123" t="s">
        <v>7</v>
      </c>
      <c r="C5" s="29" t="s">
        <v>31</v>
      </c>
      <c r="D5" s="118"/>
      <c r="E5" s="30"/>
      <c r="F5" s="30"/>
      <c r="G5" s="30"/>
      <c r="H5" s="31"/>
      <c r="I5" s="16" t="str">
        <f>(IF(M5&lt;&gt;1,"◄",""))</f>
        <v>◄</v>
      </c>
      <c r="J5" s="54">
        <v>0.35</v>
      </c>
      <c r="L5" s="56">
        <f>(IF(F5&lt;&gt;"",1/3,0)+IF(G5&lt;&gt;"",2/3,0)+IF(H5&lt;&gt;"",1,0))*J5*J$4*20</f>
        <v>0</v>
      </c>
      <c r="M5" s="57">
        <f>IF(E5&lt;&gt;"",1,0)+IF(F5&lt;&gt;"",1,0)+IF(G5&lt;&gt;"",1,0)+IF(H5&lt;&gt;"",1,0)</f>
        <v>0</v>
      </c>
      <c r="N5" s="58">
        <f>IF(E5&lt;&gt;"",0.02,(L5/(J5*J$4*20)))</f>
        <v>0</v>
      </c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7.100000000000001" customHeight="1">
      <c r="A6" s="114"/>
      <c r="B6" s="123"/>
      <c r="C6" s="32" t="s">
        <v>38</v>
      </c>
      <c r="D6" s="119"/>
      <c r="E6" s="33"/>
      <c r="F6" s="33"/>
      <c r="G6" s="33"/>
      <c r="H6" s="34"/>
      <c r="I6" s="16" t="str">
        <f t="shared" ref="I6:I7" si="0">(IF(M6&lt;&gt;1,"◄",""))</f>
        <v>◄</v>
      </c>
      <c r="J6" s="54">
        <v>0.35</v>
      </c>
      <c r="L6" s="56">
        <f>(IF(F6&lt;&gt;"",1/3,0)+IF(G6&lt;&gt;"",2/3,0)+IF(H6&lt;&gt;"",1,0))*J6*J$4*20</f>
        <v>0</v>
      </c>
      <c r="M6" s="57">
        <f>IF(D6="",IF(E6&lt;&gt;"",1,0)+IF(F6&lt;&gt;"",1,0)+IF(G6&lt;&gt;"",1,0)+IF(H6&lt;&gt;"",1,0),0)</f>
        <v>0</v>
      </c>
      <c r="N6" s="58">
        <f t="shared" ref="N6:N7" si="1">IF(E6&lt;&gt;"",0.02,(L6/(J6*J$4*20)))</f>
        <v>0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7" customHeight="1" thickBot="1">
      <c r="A7" s="35" t="s">
        <v>8</v>
      </c>
      <c r="B7" s="36" t="s">
        <v>9</v>
      </c>
      <c r="C7" s="25" t="s">
        <v>41</v>
      </c>
      <c r="D7" s="119"/>
      <c r="E7" s="70"/>
      <c r="F7" s="70"/>
      <c r="G7" s="70"/>
      <c r="H7" s="71"/>
      <c r="I7" s="16" t="str">
        <f t="shared" si="0"/>
        <v>◄</v>
      </c>
      <c r="J7" s="54">
        <v>0.3</v>
      </c>
      <c r="L7" s="56">
        <f>(IF(F7&lt;&gt;"",1/3,0)+IF(G7&lt;&gt;"",2/3,0)+IF(H7&lt;&gt;"",1,0))*J7*J$4*20</f>
        <v>0</v>
      </c>
      <c r="M7" s="57">
        <f>IF(D7="",IF(E7&lt;&gt;"",1,0)+IF(F7&lt;&gt;"",1,0)+IF(G7&lt;&gt;"",1,0)+IF(H7&lt;&gt;"",1,0),0)</f>
        <v>0</v>
      </c>
      <c r="N7" s="58">
        <f t="shared" si="1"/>
        <v>0</v>
      </c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131" t="s">
        <v>10</v>
      </c>
      <c r="B8" s="132"/>
      <c r="C8" s="132"/>
      <c r="D8" s="132"/>
      <c r="E8" s="132"/>
      <c r="F8" s="132"/>
      <c r="G8" s="132"/>
      <c r="H8" s="133"/>
      <c r="I8" s="16"/>
      <c r="J8" s="53">
        <v>0.15</v>
      </c>
      <c r="L8" s="55" t="e">
        <f>SUMPRODUCT(L9:L13,M9:M13)/SUMPRODUCT(J9:J13,M9:M13)</f>
        <v>#DIV/0!</v>
      </c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" customHeight="1">
      <c r="A9" s="114" t="s">
        <v>11</v>
      </c>
      <c r="B9" s="117" t="s">
        <v>52</v>
      </c>
      <c r="C9" s="32" t="s">
        <v>32</v>
      </c>
      <c r="D9" s="118"/>
      <c r="E9" s="37"/>
      <c r="F9" s="37"/>
      <c r="G9" s="38"/>
      <c r="H9" s="39"/>
      <c r="I9" s="16" t="str">
        <f t="shared" ref="I9:I13" si="2">(IF(M9&lt;&gt;1,"◄",""))</f>
        <v>◄</v>
      </c>
      <c r="J9" s="54">
        <v>0.2</v>
      </c>
      <c r="L9" s="56">
        <f>(IF(F9&lt;&gt;"",1/3,0)+IF(G9&lt;&gt;"",2/3,0)+IF(H9&lt;&gt;"",1,0))*J9*J$8*20</f>
        <v>0</v>
      </c>
      <c r="M9" s="57">
        <f>IF(D9="",IF(E9&lt;&gt;"",1,0)+IF(F9&lt;&gt;"",1,0)+IF(G9&lt;&gt;"",1,0)+IF(H9&lt;&gt;"",1,0),0)</f>
        <v>0</v>
      </c>
      <c r="N9" s="58">
        <f>IF(E9&lt;&gt;"",0.02,(L9/(J9*J$8*20)))</f>
        <v>0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" customHeight="1">
      <c r="A10" s="114"/>
      <c r="B10" s="117"/>
      <c r="C10" s="49" t="s">
        <v>44</v>
      </c>
      <c r="D10" s="139"/>
      <c r="E10" s="72"/>
      <c r="F10" s="72"/>
      <c r="G10" s="73"/>
      <c r="H10" s="74"/>
      <c r="I10" s="16" t="str">
        <f t="shared" si="2"/>
        <v>◄</v>
      </c>
      <c r="J10" s="54">
        <v>0.2</v>
      </c>
      <c r="L10" s="56">
        <f>(IF(F10&lt;&gt;"",1/3,0)+IF(G10&lt;&gt;"",2/3,0)+IF(H10&lt;&gt;"",1,0))*J10*J$8*20</f>
        <v>0</v>
      </c>
      <c r="M10" s="57">
        <f>IF(D10="",IF(E10&lt;&gt;"",1,0)+IF(F10&lt;&gt;"",1,0)+IF(G10&lt;&gt;"",1,0)+IF(H10&lt;&gt;"",1,0),0)</f>
        <v>0</v>
      </c>
      <c r="N10" s="58">
        <f t="shared" ref="N10:N13" si="3">IF(E10&lt;&gt;"",0.02,(L10/(J10*J$8*20)))</f>
        <v>0</v>
      </c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" customHeight="1">
      <c r="A11" s="114"/>
      <c r="B11" s="117"/>
      <c r="C11" s="50" t="s">
        <v>47</v>
      </c>
      <c r="D11" s="119"/>
      <c r="E11" s="77"/>
      <c r="F11" s="77"/>
      <c r="G11" s="78"/>
      <c r="H11" s="79"/>
      <c r="I11" s="16" t="str">
        <f t="shared" si="2"/>
        <v>◄</v>
      </c>
      <c r="J11" s="54">
        <v>0.2</v>
      </c>
      <c r="L11" s="56">
        <f>(IF(F11&lt;&gt;"",1/3,0)+IF(G11&lt;&gt;"",2/3,0)+IF(H11&lt;&gt;"",1,0))*J11*J$8*20</f>
        <v>0</v>
      </c>
      <c r="M11" s="57">
        <f>IF(D11="",IF(E11&lt;&gt;"",1,0)+IF(F11&lt;&gt;"",1,0)+IF(G11&lt;&gt;"",1,0)+IF(H11&lt;&gt;"",1,0),0)</f>
        <v>0</v>
      </c>
      <c r="N11" s="58">
        <f t="shared" si="3"/>
        <v>0</v>
      </c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8" customHeight="1">
      <c r="A12" s="114" t="s">
        <v>34</v>
      </c>
      <c r="B12" s="123" t="s">
        <v>35</v>
      </c>
      <c r="C12" s="29" t="s">
        <v>42</v>
      </c>
      <c r="D12" s="119"/>
      <c r="E12" s="40"/>
      <c r="F12" s="40"/>
      <c r="G12" s="40"/>
      <c r="H12" s="41"/>
      <c r="I12" s="16" t="str">
        <f t="shared" si="2"/>
        <v>◄</v>
      </c>
      <c r="J12" s="54">
        <v>0.2</v>
      </c>
      <c r="L12" s="56">
        <f>(IF(F12&lt;&gt;"",1/3,0)+IF(G12&lt;&gt;"",2/3,0)+IF(H12&lt;&gt;"",1,0))*J12*J$8*20</f>
        <v>0</v>
      </c>
      <c r="M12" s="57">
        <f>IF(D12="",IF(E12&lt;&gt;"",1,0)+IF(F12&lt;&gt;"",1,0)+IF(G12&lt;&gt;"",1,0)+IF(H12&lt;&gt;"",1,0),0)</f>
        <v>0</v>
      </c>
      <c r="N12" s="58">
        <f t="shared" si="3"/>
        <v>0</v>
      </c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8" customHeight="1" thickBot="1">
      <c r="A13" s="124"/>
      <c r="B13" s="125"/>
      <c r="C13" s="42" t="s">
        <v>43</v>
      </c>
      <c r="D13" s="140"/>
      <c r="E13" s="43"/>
      <c r="F13" s="43"/>
      <c r="G13" s="43"/>
      <c r="H13" s="44"/>
      <c r="I13" s="16" t="str">
        <f t="shared" si="2"/>
        <v>◄</v>
      </c>
      <c r="J13" s="54">
        <v>0.2</v>
      </c>
      <c r="L13" s="56">
        <f>(IF(F13&lt;&gt;"",1/3,0)+IF(G13&lt;&gt;"",2/3,0)+IF(H13&lt;&gt;"",1,0))*J13*J$8*20</f>
        <v>0</v>
      </c>
      <c r="M13" s="57">
        <f>IF(D13="",IF(E13&lt;&gt;"",1,0)+IF(F13&lt;&gt;"",1,0)+IF(G13&lt;&gt;"",1,0)+IF(H13&lt;&gt;"",1,0),0)</f>
        <v>0</v>
      </c>
      <c r="N13" s="58">
        <f t="shared" si="3"/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>
      <c r="A14" s="120" t="s">
        <v>27</v>
      </c>
      <c r="B14" s="121"/>
      <c r="C14" s="121"/>
      <c r="D14" s="121"/>
      <c r="E14" s="121"/>
      <c r="F14" s="121"/>
      <c r="G14" s="121"/>
      <c r="H14" s="122"/>
      <c r="I14" s="16"/>
      <c r="J14" s="53">
        <v>0.45</v>
      </c>
      <c r="L14" s="55" t="e">
        <f>SUMPRODUCT(L15:L18,M15:M18)/SUMPRODUCT(J15:J18,M15:M18)</f>
        <v>#DIV/0!</v>
      </c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4.95" customHeight="1">
      <c r="A15" s="45" t="s">
        <v>12</v>
      </c>
      <c r="B15" s="46" t="s">
        <v>13</v>
      </c>
      <c r="C15" s="47" t="s">
        <v>25</v>
      </c>
      <c r="D15" s="118"/>
      <c r="E15" s="40"/>
      <c r="F15" s="40"/>
      <c r="G15" s="40"/>
      <c r="H15" s="48"/>
      <c r="I15" s="16" t="str">
        <f>(IF(M15&lt;&gt;1,"◄",""))</f>
        <v>◄</v>
      </c>
      <c r="J15" s="54">
        <v>0.25</v>
      </c>
      <c r="L15" s="56">
        <f>(IF(F15&lt;&gt;"",1/3,0)+IF(G15&lt;&gt;"",2/3,0)+IF(H15&lt;&gt;"",1,0))*J15*J$14*20</f>
        <v>0</v>
      </c>
      <c r="M15" s="57">
        <f>IF(D15="",IF(E15&lt;&gt;"",1,0)+IF(F15&lt;&gt;"",1,0)+IF(G15&lt;&gt;"",1,0)+IF(H15&lt;&gt;"",1,0),0)</f>
        <v>0</v>
      </c>
      <c r="N15" s="58">
        <f>IF(E15&lt;&gt;"",0.02,(L15/(J15*J$14*20)))</f>
        <v>0</v>
      </c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7" customHeight="1">
      <c r="A16" s="45" t="s">
        <v>14</v>
      </c>
      <c r="B16" s="46" t="s">
        <v>15</v>
      </c>
      <c r="C16" s="32" t="s">
        <v>26</v>
      </c>
      <c r="D16" s="119"/>
      <c r="E16" s="37"/>
      <c r="F16" s="37"/>
      <c r="G16" s="37"/>
      <c r="H16" s="39"/>
      <c r="I16" s="16" t="str">
        <f t="shared" ref="I16:I18" si="4">(IF(M16&lt;&gt;1,"◄",""))</f>
        <v>◄</v>
      </c>
      <c r="J16" s="54">
        <v>0.25</v>
      </c>
      <c r="L16" s="56">
        <f>(IF(F16&lt;&gt;"",1/3,0)+IF(G16&lt;&gt;"",2/3,0)+IF(H16&lt;&gt;"",1,0))*J16*J$14*20</f>
        <v>0</v>
      </c>
      <c r="M16" s="57">
        <f>IF(D16="",IF(E16&lt;&gt;"",1,0)+IF(F16&lt;&gt;"",1,0)+IF(G16&lt;&gt;"",1,0)+IF(H16&lt;&gt;"",1,0),0)</f>
        <v>0</v>
      </c>
      <c r="N16" s="58">
        <f t="shared" ref="N16:N18" si="5">IF(E16&lt;&gt;"",0.02,(L16/(J16*J$14*20)))</f>
        <v>0</v>
      </c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95" customHeight="1">
      <c r="A17" s="114" t="s">
        <v>29</v>
      </c>
      <c r="B17" s="123" t="s">
        <v>30</v>
      </c>
      <c r="C17" s="49" t="s">
        <v>28</v>
      </c>
      <c r="D17" s="119"/>
      <c r="E17" s="75"/>
      <c r="F17" s="75"/>
      <c r="G17" s="75"/>
      <c r="H17" s="76"/>
      <c r="I17" s="16" t="str">
        <f t="shared" si="4"/>
        <v>◄</v>
      </c>
      <c r="J17" s="54">
        <v>0.25</v>
      </c>
      <c r="L17" s="56">
        <f>(IF(F17&lt;&gt;"",1/3,0)+IF(G17&lt;&gt;"",2/3,0)+IF(H17&lt;&gt;"",1,0))*J17*J$14*20</f>
        <v>0</v>
      </c>
      <c r="M17" s="57">
        <f>IF(D17="",IF(E17&lt;&gt;"",1,0)+IF(F17&lt;&gt;"",1,0)+IF(G17&lt;&gt;"",1,0)+IF(H17&lt;&gt;"",1,0),0)</f>
        <v>0</v>
      </c>
      <c r="N17" s="58">
        <f t="shared" si="5"/>
        <v>0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7.100000000000001" customHeight="1" thickBot="1">
      <c r="A18" s="124"/>
      <c r="B18" s="125"/>
      <c r="C18" s="51" t="s">
        <v>16</v>
      </c>
      <c r="D18" s="141"/>
      <c r="E18" s="80"/>
      <c r="F18" s="80"/>
      <c r="G18" s="80"/>
      <c r="H18" s="81"/>
      <c r="I18" s="16" t="str">
        <f t="shared" si="4"/>
        <v>◄</v>
      </c>
      <c r="J18" s="54">
        <v>0.25</v>
      </c>
      <c r="L18" s="56">
        <f>(IF(F18&lt;&gt;"",1/3,0)+IF(G18&lt;&gt;"",2/3,0)+IF(H18&lt;&gt;"",1,0))*J18*J$14*20</f>
        <v>0</v>
      </c>
      <c r="M18" s="57">
        <f>IF(D18="",IF(E18&lt;&gt;"",1,0)+IF(F18&lt;&gt;"",1,0)+IF(G18&lt;&gt;"",1,0)+IF(H18&lt;&gt;"",1,0),0)</f>
        <v>0</v>
      </c>
      <c r="N18" s="58">
        <f t="shared" si="5"/>
        <v>0</v>
      </c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>
      <c r="A19" s="120" t="s">
        <v>17</v>
      </c>
      <c r="B19" s="121"/>
      <c r="C19" s="121"/>
      <c r="D19" s="121"/>
      <c r="E19" s="121"/>
      <c r="F19" s="121"/>
      <c r="G19" s="121"/>
      <c r="H19" s="122"/>
      <c r="I19" s="16"/>
      <c r="J19" s="53">
        <v>0.2</v>
      </c>
      <c r="L19" s="55" t="e">
        <f>SUMPRODUCT(L20:L21,M20:M21)/SUMPRODUCT(J20:J21,M20:M21)</f>
        <v>#DIV/0!</v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5.5">
      <c r="A20" s="114" t="s">
        <v>18</v>
      </c>
      <c r="B20" s="123" t="s">
        <v>36</v>
      </c>
      <c r="C20" s="29" t="s">
        <v>37</v>
      </c>
      <c r="D20" s="118"/>
      <c r="E20" s="40"/>
      <c r="F20" s="40"/>
      <c r="G20" s="40"/>
      <c r="H20" s="48"/>
      <c r="I20" s="16" t="str">
        <f>(IF(M20&lt;&gt;1,"◄",""))</f>
        <v>◄</v>
      </c>
      <c r="J20" s="54">
        <v>0.6</v>
      </c>
      <c r="L20" s="56">
        <f>(IF(F20&lt;&gt;"",1/3,0)+IF(G20&lt;&gt;"",2/3,0)+IF(H20&lt;&gt;"",1,0))*J20*J$19*20</f>
        <v>0</v>
      </c>
      <c r="M20" s="57">
        <f>IF(D20="",IF(E20&lt;&gt;"",1,0)+IF(F20&lt;&gt;"",1,0)+IF(G20&lt;&gt;"",1,0)+IF(H20&lt;&gt;"",1,0),0)</f>
        <v>0</v>
      </c>
      <c r="N20" s="58">
        <f>IF(E20&lt;&gt;"",0.02,(L20/(J20*J$19*20)))</f>
        <v>0</v>
      </c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4.1" customHeight="1">
      <c r="A21" s="114"/>
      <c r="B21" s="123"/>
      <c r="C21" s="32" t="s">
        <v>39</v>
      </c>
      <c r="D21" s="119"/>
      <c r="E21" s="37"/>
      <c r="F21" s="37"/>
      <c r="G21" s="37"/>
      <c r="H21" s="39"/>
      <c r="I21" s="16" t="str">
        <f>(IF(M21&lt;&gt;1,"◄",""))</f>
        <v>◄</v>
      </c>
      <c r="J21" s="54">
        <v>0.4</v>
      </c>
      <c r="L21" s="56">
        <f>(IF(F21&lt;&gt;"",1/3,0)+IF(G21&lt;&gt;"",2/3,0)+IF(H21&lt;&gt;"",1,0))*J21*J$19*20</f>
        <v>0</v>
      </c>
      <c r="M21" s="57">
        <f>IF(D21="",IF(E21&lt;&gt;"",1,0)+IF(F21&lt;&gt;"",1,0)+IF(G21&lt;&gt;"",1,0)+IF(H21&lt;&gt;"",1,0),0)</f>
        <v>0</v>
      </c>
      <c r="N21" s="58">
        <f>IF(E21&lt;&gt;"",0.02,(L21/(J21*J$19*20)))</f>
        <v>0</v>
      </c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>
      <c r="C22" s="17"/>
      <c r="E22" s="130"/>
      <c r="F22" s="130"/>
      <c r="G22" s="130"/>
      <c r="H22" s="130"/>
      <c r="J22" s="19">
        <f>J4+J8+J19+J14</f>
        <v>1</v>
      </c>
      <c r="M22" s="57">
        <f>IF(SUM(M5:M21)&lt;&gt;14,0,1)</f>
        <v>0</v>
      </c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3.5" thickBot="1">
      <c r="C23" s="4" t="s">
        <v>33</v>
      </c>
      <c r="E23" s="128" t="str">
        <f>IF(M22&lt;&gt;1,"",L4+L8+L14+L19)</f>
        <v/>
      </c>
      <c r="F23" s="128"/>
      <c r="G23" s="129" t="s">
        <v>19</v>
      </c>
      <c r="H23" s="129"/>
      <c r="I23" s="20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8.95" customHeight="1" thickBot="1">
      <c r="C24" s="4" t="s">
        <v>20</v>
      </c>
      <c r="E24" s="154"/>
      <c r="F24" s="155"/>
      <c r="G24" s="156" t="s">
        <v>21</v>
      </c>
      <c r="H24" s="157"/>
      <c r="K24" s="142" t="s">
        <v>48</v>
      </c>
      <c r="L24" s="14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thickBot="1">
      <c r="C25" s="4" t="s">
        <v>22</v>
      </c>
      <c r="E25" s="158">
        <f>E24*6</f>
        <v>0</v>
      </c>
      <c r="F25" s="159"/>
      <c r="G25" s="160">
        <f>(20*[1]Identification!B5)</f>
        <v>120</v>
      </c>
      <c r="H25" s="161"/>
      <c r="I25" s="16"/>
      <c r="K25" s="144"/>
      <c r="L25" s="145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>
      <c r="A26" s="151"/>
      <c r="B26" s="151"/>
      <c r="C26" s="151"/>
      <c r="D26" s="151"/>
      <c r="E26" s="151"/>
      <c r="F26" s="151"/>
      <c r="G26" s="151"/>
      <c r="H26" s="151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3.5" thickBot="1">
      <c r="A27" s="146" t="s">
        <v>40</v>
      </c>
      <c r="B27" s="147"/>
      <c r="C27" s="147"/>
      <c r="D27" s="147"/>
      <c r="E27" s="147"/>
      <c r="F27" s="147"/>
      <c r="G27" s="147"/>
      <c r="H27" s="147"/>
      <c r="I27" s="21" t="s">
        <v>23</v>
      </c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>
      <c r="A28" s="115" t="s">
        <v>45</v>
      </c>
      <c r="B28" s="116"/>
      <c r="C28" s="148" t="s">
        <v>24</v>
      </c>
      <c r="D28" s="149"/>
      <c r="E28" s="149"/>
      <c r="F28" s="149"/>
      <c r="G28" s="149"/>
      <c r="H28" s="150"/>
      <c r="I28" s="22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7.95" customHeight="1">
      <c r="A29" s="164"/>
      <c r="B29" s="165"/>
      <c r="C29" s="165"/>
      <c r="D29" s="165"/>
      <c r="E29" s="165"/>
      <c r="F29" s="165"/>
      <c r="G29" s="165"/>
      <c r="H29" s="166"/>
      <c r="I29" s="2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7.95" customHeight="1" thickBot="1">
      <c r="A30" s="164"/>
      <c r="B30" s="165"/>
      <c r="C30" s="165"/>
      <c r="D30" s="165"/>
      <c r="E30" s="165"/>
      <c r="F30" s="165"/>
      <c r="G30" s="165"/>
      <c r="H30" s="166"/>
      <c r="I30" s="23"/>
      <c r="J30" s="3"/>
      <c r="K30" s="3"/>
      <c r="L30" s="28"/>
      <c r="N30" s="57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7.95" customHeight="1" thickBot="1">
      <c r="A31" s="162"/>
      <c r="B31" s="163"/>
      <c r="C31" s="163"/>
      <c r="D31" s="163"/>
      <c r="E31" s="163"/>
      <c r="F31" s="163"/>
      <c r="G31" s="163"/>
      <c r="H31" s="167"/>
      <c r="I31" s="3"/>
      <c r="J31" s="3"/>
      <c r="K31" s="152" t="s">
        <v>46</v>
      </c>
      <c r="L31" s="153"/>
      <c r="N31" s="57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>
      <c r="A32"/>
      <c r="B32"/>
      <c r="C32"/>
      <c r="D32"/>
      <c r="E32"/>
      <c r="F32"/>
      <c r="G32"/>
      <c r="H32"/>
      <c r="J32" s="3"/>
      <c r="K32" s="3"/>
      <c r="L32" s="28"/>
      <c r="N32" s="57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>
      <c r="A33"/>
      <c r="B33"/>
      <c r="C33"/>
      <c r="D33"/>
      <c r="E33"/>
      <c r="F33"/>
      <c r="G33"/>
      <c r="H33"/>
      <c r="J33" s="3"/>
      <c r="K33" s="3"/>
      <c r="L33" s="28"/>
      <c r="N33" s="57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>
      <c r="A34"/>
      <c r="B34"/>
      <c r="C34"/>
      <c r="D34"/>
      <c r="E34"/>
      <c r="F34"/>
      <c r="G34"/>
      <c r="H34"/>
      <c r="J34" s="3"/>
      <c r="K34" s="3"/>
      <c r="L34" s="28"/>
      <c r="N34" s="57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>
      <c r="A35"/>
      <c r="B35"/>
      <c r="C35"/>
      <c r="D35"/>
      <c r="E35"/>
      <c r="F35"/>
      <c r="G35"/>
      <c r="H35"/>
      <c r="J35" s="3"/>
      <c r="K35" s="3"/>
      <c r="L35" s="28"/>
      <c r="N35" s="57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>
      <c r="A36"/>
      <c r="B36"/>
      <c r="C36"/>
      <c r="D36"/>
      <c r="E36"/>
      <c r="F36"/>
      <c r="G36"/>
      <c r="H36"/>
      <c r="J36" s="3"/>
      <c r="K36" s="3"/>
      <c r="L36" s="28"/>
      <c r="N36" s="57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8" spans="1:26" ht="14.25">
      <c r="B38" s="24"/>
      <c r="J38" s="3"/>
      <c r="K38" s="3"/>
      <c r="L38" s="28"/>
      <c r="N38" s="57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42" spans="1:26">
      <c r="E42" s="113">
        <v>12</v>
      </c>
      <c r="F42" s="113"/>
    </row>
    <row r="43" spans="1:26">
      <c r="E43" s="113">
        <v>13</v>
      </c>
      <c r="F43" s="113"/>
    </row>
  </sheetData>
  <mergeCells count="40">
    <mergeCell ref="K24:L25"/>
    <mergeCell ref="A27:H27"/>
    <mergeCell ref="C28:H28"/>
    <mergeCell ref="A26:H26"/>
    <mergeCell ref="K31:L31"/>
    <mergeCell ref="E24:F24"/>
    <mergeCell ref="G24:H24"/>
    <mergeCell ref="E25:F25"/>
    <mergeCell ref="G25:H25"/>
    <mergeCell ref="A31:B31"/>
    <mergeCell ref="A29:B29"/>
    <mergeCell ref="A30:B30"/>
    <mergeCell ref="C29:H31"/>
    <mergeCell ref="K1:L1"/>
    <mergeCell ref="E23:F23"/>
    <mergeCell ref="G23:H23"/>
    <mergeCell ref="E22:H22"/>
    <mergeCell ref="A8:H8"/>
    <mergeCell ref="D2:H2"/>
    <mergeCell ref="A3:B3"/>
    <mergeCell ref="A4:H4"/>
    <mergeCell ref="A5:A6"/>
    <mergeCell ref="B5:B6"/>
    <mergeCell ref="D5:D7"/>
    <mergeCell ref="B12:B13"/>
    <mergeCell ref="A12:A13"/>
    <mergeCell ref="A14:H14"/>
    <mergeCell ref="D9:D13"/>
    <mergeCell ref="D15:D18"/>
    <mergeCell ref="E42:F42"/>
    <mergeCell ref="E43:F43"/>
    <mergeCell ref="A9:A11"/>
    <mergeCell ref="A28:B28"/>
    <mergeCell ref="B9:B11"/>
    <mergeCell ref="D20:D21"/>
    <mergeCell ref="A19:H19"/>
    <mergeCell ref="A20:A21"/>
    <mergeCell ref="B20:B21"/>
    <mergeCell ref="A17:A18"/>
    <mergeCell ref="B17:B18"/>
  </mergeCells>
  <phoneticPr fontId="26" type="noConversion"/>
  <pageMargins left="0.75000000000000011" right="0.75000000000000011" top="1" bottom="1" header="0.5" footer="0.5"/>
  <pageSetup paperSize="9" scale="50"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Identification</vt:lpstr>
      <vt:lpstr>Notation</vt:lpstr>
    </vt:vector>
  </TitlesOfParts>
  <Company>IGEN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Rage</dc:creator>
  <cp:lastModifiedBy>Jean-Claude FRICOU</cp:lastModifiedBy>
  <cp:lastPrinted>2014-01-22T11:09:03Z</cp:lastPrinted>
  <dcterms:created xsi:type="dcterms:W3CDTF">2014-01-22T08:41:46Z</dcterms:created>
  <dcterms:modified xsi:type="dcterms:W3CDTF">2014-08-05T10:00:31Z</dcterms:modified>
</cp:coreProperties>
</file>